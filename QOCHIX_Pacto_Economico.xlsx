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Portada" sheetId="1" state="visible" r:id="rId3"/>
    <sheet name="⚙️ Supuestos" sheetId="2" state="visible" r:id="rId4"/>
    <sheet name="1️⃣ Valor Hora" sheetId="3" state="visible" r:id="rId5"/>
    <sheet name="2️⃣ Sweat Equity" sheetId="4" state="visible" r:id="rId6"/>
    <sheet name="3️⃣ Capital Hugo" sheetId="5" state="visible" r:id="rId7"/>
    <sheet name="4️⃣ Equity" sheetId="6" state="visible" r:id="rId8"/>
    <sheet name="5️⃣ Ticket" sheetId="7" state="visible" r:id="rId9"/>
    <sheet name="6️⃣ Vesting" sheetId="8" state="visible" r:id="rId10"/>
    <sheet name="7️⃣ Facturación" sheetId="9" state="visible" r:id="rId11"/>
    <sheet name="8️⃣ Sueldos" sheetId="10" state="visible" r:id="rId12"/>
    <sheet name="9️⃣ Equity Anual" sheetId="11" state="visible" r:id="rId13"/>
    <sheet name="🔟 Total Mensual" sheetId="12" state="visible" r:id="rId14"/>
    <sheet name="📊 ROI" sheetId="13" state="visible" r:id="rId15"/>
    <sheet name="🎯 Apuesta Final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<sst xmlns="http://schemas.openxmlformats.org/spreadsheetml/2006/main" count="526" uniqueCount="338">
  <si>
    <t xml:space="preserve">  QOCHIX — Pacto Económico · Modelo Financiero Interactivo</t>
  </si>
  <si>
    <t xml:space="preserve">Hugo 63%  ·  Rossy 17%  ·  Vera 11%  ·  Carlos 6%  ·  Nicole 3%</t>
  </si>
  <si>
    <t xml:space="preserve">Este Excel contiene el modelo financiero completo de Qochix. Cambia cualquier celda AZUL en la hoja ⚙️ Supuestos y todo se recalcula automáticamente. Celdas VERDE = jaladas de otra hoja. Celdas NEGRO = fórmulas calculadas.</t>
  </si>
  <si>
    <t xml:space="preserve">PESTAÑA</t>
  </si>
  <si>
    <t xml:space="preserve">¿QUÉ CONTIENE?</t>
  </si>
  <si>
    <t xml:space="preserve">¿EDITABLE?</t>
  </si>
  <si>
    <t xml:space="preserve">⚙️ Supuestos</t>
  </si>
  <si>
    <t xml:space="preserve">TODOS los parámetros: sueldos, horas, % equity, capital, facturación, sueldos Qochix, parámetros vesting</t>
  </si>
  <si>
    <t xml:space="preserve">✅ Todo azul = editable</t>
  </si>
  <si>
    <t xml:space="preserve">1️⃣ Valor Hora</t>
  </si>
  <si>
    <t xml:space="preserve">Valor por hora de mercado de cada co-fundador. Base del sweat equity</t>
  </si>
  <si>
    <t xml:space="preserve">🔒 Lee de Supuestos</t>
  </si>
  <si>
    <t xml:space="preserve">2️⃣ Sweat Equity</t>
  </si>
  <si>
    <t xml:space="preserve">Valor del tiempo aportado 3 años × factor ajuste. El mayor componente del equity</t>
  </si>
  <si>
    <t xml:space="preserve">3️⃣ Capital Hugo</t>
  </si>
  <si>
    <t xml:space="preserve">Desglose línea a línea del cash de Hugo. Separa inversión permanente (equity) de préstamos (deuda)</t>
  </si>
  <si>
    <t xml:space="preserve">4️⃣ Equity</t>
  </si>
  <si>
    <t xml:space="preserve">% matemático puro vs % propuesto. Muestra la diferencia y lógica de cada decisión</t>
  </si>
  <si>
    <t xml:space="preserve">🔒 Fórmulas automáticas</t>
  </si>
  <si>
    <t xml:space="preserve">5️⃣ Ticket</t>
  </si>
  <si>
    <t xml:space="preserve">Ticket de entrada S/5,000 c/u y plan de cuotas por persona</t>
  </si>
  <si>
    <t xml:space="preserve">6️⃣ Vesting</t>
  </si>
  <si>
    <t xml:space="preserve">Cliff 12 meses + vesting 36 meses. Qué pasa si alguien se va en distintos momentos</t>
  </si>
  <si>
    <t xml:space="preserve">7️⃣ Facturación</t>
  </si>
  <si>
    <t xml:space="preserve">Proyección por marca 2026-2032. Calcula neto 65%, colchón y distribuible a socios</t>
  </si>
  <si>
    <t xml:space="preserve">⚠️ Líneas Almaria/HugoTech editables</t>
  </si>
  <si>
    <t xml:space="preserve">8️⃣ Sueldos</t>
  </si>
  <si>
    <t xml:space="preserve">Sueldos Qochix año a año. Punto de cruce vs corporativo para cada socio</t>
  </si>
  <si>
    <t xml:space="preserve">9️⃣ Equity Anual</t>
  </si>
  <si>
    <t xml:space="preserve">Retorno mensual por ser DUEÑO — aparte del sueldo. Equity = distribuible × % equity</t>
  </si>
  <si>
    <t xml:space="preserve">🔟 Total Mensual</t>
  </si>
  <si>
    <t xml:space="preserve">Sueldo + equity = ingreso total mensual de Qochix. Acumulado 7 años</t>
  </si>
  <si>
    <t xml:space="preserve">📊 ROI</t>
  </si>
  <si>
    <t xml:space="preserve">ROI, punto de equilibrio y múltiplo vs sueldo actual. Todo calculado automáticamente</t>
  </si>
  <si>
    <t xml:space="preserve">🎯 Apuesta Final</t>
  </si>
  <si>
    <t xml:space="preserve">Tabla HOY vs 2032. Sueldo + equity separados. Múltiplos. Patrimonio Hugo. La pregunta del 2 de abril</t>
  </si>
  <si>
    <t xml:space="preserve">⚠️ Valoración Qochix editable</t>
  </si>
  <si>
    <t xml:space="preserve">  CÓDIGO DE COLORES</t>
  </si>
  <si>
    <t xml:space="preserve">  AZUL + fondo amarillo</t>
  </si>
  <si>
    <t xml:space="preserve">Celda editable — cambia este valor en ⚙️ Supuestos</t>
  </si>
  <si>
    <t xml:space="preserve">  NEGRO + fondo blanco</t>
  </si>
  <si>
    <t xml:space="preserve">Fórmula calculada automáticamente — no modificar</t>
  </si>
  <si>
    <t xml:space="preserve">  VERDE</t>
  </si>
  <si>
    <t xml:space="preserve">Link que jala de otra hoja — se actualiza solo</t>
  </si>
  <si>
    <t xml:space="preserve">  ROJO</t>
  </si>
  <si>
    <t xml:space="preserve">Alerta importante (ej: deuda, suma incorrecta)</t>
  </si>
  <si>
    <t xml:space="preserve">  ⚙️  SUPUESTOS — Todos los parámetros editables del modelo</t>
  </si>
  <si>
    <t xml:space="preserve">🔵 Cambia cualquier celda AZUL y todo el modelo se recalcula solo. NO toques las celdas en negro (fórmulas). El % equity debe sumar exactamente 100% — hay celda de verificación abajo.</t>
  </si>
  <si>
    <t xml:space="preserve">  A. DATOS BASE DE CADA CO-FUNDADOR</t>
  </si>
  <si>
    <t xml:space="preserve">Sueldo hoy = sueldo en trabajo actual (base para calcular valor hora y sweat equity). Hrs/día Qochix = horas adicionales dedicadas al ecosistema. Factor ajuste = % real de esas hrs que van 100% a Qochix (menos si tienen otro trabajo).</t>
  </si>
  <si>
    <t xml:space="preserve">Persona</t>
  </si>
  <si>
    <t xml:space="preserve">Sueldo hoy
(S/mes)</t>
  </si>
  <si>
    <t xml:space="preserve">Días lab/mes</t>
  </si>
  <si>
    <t xml:space="preserve">Hrs lab/día</t>
  </si>
  <si>
    <t xml:space="preserve">Hrs/día
Qochix</t>
  </si>
  <si>
    <t xml:space="preserve">Factor
ajuste</t>
  </si>
  <si>
    <t xml:space="preserve">% Equity
propuesto</t>
  </si>
  <si>
    <t xml:space="preserve">Capital
aportado S/</t>
  </si>
  <si>
    <t xml:space="preserve">Hugo</t>
  </si>
  <si>
    <t xml:space="preserve">Rossy</t>
  </si>
  <si>
    <t xml:space="preserve">Vera</t>
  </si>
  <si>
    <t xml:space="preserve">Carlos</t>
  </si>
  <si>
    <t xml:space="preserve">Ya cobra de Trazo</t>
  </si>
  <si>
    <t xml:space="preserve">Nicole</t>
  </si>
  <si>
    <t xml:space="preserve">→ Verificar: % equity suma</t>
  </si>
  <si>
    <t xml:space="preserve">← Debe ser exactamente 100%</t>
  </si>
  <si>
    <t xml:space="preserve">  B. TICKET DE ENTRADA A QOCHIX</t>
  </si>
  <si>
    <t xml:space="preserve">El ticket es una señal de compromiso — no un pago. Edita el monto o N° cuotas; la cuota mensual se calcula sola.</t>
  </si>
  <si>
    <t xml:space="preserve">Monto S/</t>
  </si>
  <si>
    <t xml:space="preserve">N° cuotas</t>
  </si>
  <si>
    <t xml:space="preserve">Cuota/mes (auto)</t>
  </si>
  <si>
    <t xml:space="preserve">Calendario</t>
  </si>
  <si>
    <t xml:space="preserve">Pago único · abr 2026</t>
  </si>
  <si>
    <t xml:space="preserve">Abr / May / Jun 2026</t>
  </si>
  <si>
    <t xml:space="preserve">Abr – Ago 2026</t>
  </si>
  <si>
    <t xml:space="preserve">TOTAL</t>
  </si>
  <si>
    <t xml:space="preserve">  C. FACTURACIÓN PROYECTADA POR MARCA (S/mes)</t>
  </si>
  <si>
    <t xml:space="preserve">Proyección mensual de ingresos. Edita las celdas azules según tus estimaciones. El NETO y DISTRIBUIBLE se calculan automáticamente en 7️⃣ Facturación.</t>
  </si>
  <si>
    <t xml:space="preserve">Marca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</si>
  <si>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</si>
  <si>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</si>
  <si>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</si>
  <si>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</si>
  <si>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</si>
  <si>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</si>
  <si>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</si>
  <si>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Trazo</t>
  </si>
  <si>
    <t xml:space="preserve">Almaria</t>
  </si>
  <si>
    <t xml:space="preserve">HugoTech</t>
  </si>
  <si>
    <t xml:space="preserve">% neto después de costos operativos →</t>
  </si>
  <si>
    <t xml:space="preserve">← El 35% restante cubre: planilla Trazo, tools, ads, logística, contadora</t>
  </si>
  <si>
    <t xml:space="preserve">  D. SUELDOS QOCHIX PROYECTADOS (S/mes)</t>
  </si>
  <si>
    <t xml:space="preserve">Hugo/Rossy/Vera: ADICIONAL a su trabajo corporativo actual hasta el punto de cruce. Carlos/Nicole: es su sueldo principal (Trazo los paga desde 2026).</t>
  </si>
  <si>
    <t xml:space="preserve">—</t>
  </si>
  <si>
    <t xml:space="preserve">TOTAL SUELDOS</t>
  </si>
  <si>
    <t xml:space="preserve">  E. PARÁMETROS GLOBALES DEL MODELO</t>
  </si>
  <si>
    <t xml:space="preserve">Parámetros que afectan todo el modelo. Cliff y vesting definen cuándo se ganan las acciones.</t>
  </si>
  <si>
    <t xml:space="preserve">Reserva mínima operativa (S/mes)</t>
  </si>
  <si>
    <t xml:space="preserve">Colchón de emergencia antes de distribuir equity a socios</t>
  </si>
  <si>
    <t xml:space="preserve">Días laborales por mes</t>
  </si>
  <si>
    <t xml:space="preserve">Días hábiles — base para calcular valor hora</t>
  </si>
  <si>
    <t xml:space="preserve">Semanas por mes (factor promedio)</t>
  </si>
  <si>
    <t xml:space="preserve">Factor de conversión de horas/día a horas/mes</t>
  </si>
  <si>
    <t xml:space="preserve">Vesting total (meses)</t>
  </si>
  <si>
    <t xml:space="preserve">Meses para ganar el 100% de acciones (3 años)</t>
  </si>
  <si>
    <t xml:space="preserve">Cliff (meses)</t>
  </si>
  <si>
    <t xml:space="preserve">Meses mínimos antes de recibir cualquier acción</t>
  </si>
  <si>
    <t xml:space="preserve">% acciones al cumplir el cliff</t>
  </si>
  <si>
    <t xml:space="preserve">Fracción que se entrega de golpe al cumplir el cliff (el ~33%)</t>
  </si>
  <si>
    <t xml:space="preserve">  TABLA 1 — Valor hora de cada co-fundador</t>
  </si>
  <si>
    <t xml:space="preserve">¿Para qué sirve? Para saber cuánto vale 1 hora de cada persona en el mercado. Es la base del sweat equity — el tiempo que cada uno aporta sin recibir ese pago completo.
FÓRMULA: Sueldo mensual ÷ (días laborales × horas por día) = S/ por hora
Ejemplo Hugo: S/30,000 ÷ (22 días × 8 hrs) = S/170/hr</t>
  </si>
  <si>
    <t xml:space="preserve">Fórmula</t>
  </si>
  <si>
    <t xml:space="preserve">Valor
1 hora S/</t>
  </si>
  <si>
    <t xml:space="preserve">Contexto</t>
  </si>
  <si>
    <t xml:space="preserve">Hrs/mes
Qochix</t>
  </si>
  <si>
    <t xml:space="preserve">Valor/mes
aportado S/</t>
  </si>
  <si>
    <t xml:space="preserve">% del total</t>
  </si>
  <si>
    <t xml:space="preserve">encima corporativo</t>
  </si>
  <si>
    <t xml:space="preserve">adicional fuera Trazo</t>
  </si>
  <si>
    <t xml:space="preserve">TOTAL ECOSISTEMA</t>
  </si>
  <si>
    <t xml:space="preserve">⚡ Hugo aporta el 67% del valor tiempo total. Si cambias el sueldo en ⚙️ Supuestos, esta tabla se actualiza sola.</t>
  </si>
  <si>
    <t xml:space="preserve">  TABLA 2 — Sweat equity 3 años (abr 2026 → abr 2029)</t>
  </si>
  <si>
    <t xml:space="preserve">Sweat equity = valor del tiempo aportado sin recibir el sueldo completo de mercado. Es lo que cada uno 'regala' al ecosistema en forma de trabajo.
FÓRMULA: Valor/mes × 36 meses × Factor de ajuste
El factor ajusta por quienes tienen otro trabajo (no pueden dar el 100% a Qochix).</t>
  </si>
  <si>
    <t xml:space="preserve">Valor/mes S/</t>
  </si>
  <si>
    <t xml:space="preserve">× 36 meses S/</t>
  </si>
  <si>
    <t xml:space="preserve">× Factor</t>
  </si>
  <si>
    <t xml:space="preserve">Lógica del factor</t>
  </si>
  <si>
    <t xml:space="preserve">SWEAT TOTAL S/</t>
  </si>
  <si>
    <t xml:space="preserve">% del pool</t>
  </si>
  <si>
    <t xml:space="preserve">Sweat/año S/</t>
  </si>
  <si>
    <t xml:space="preserve">Sweat/mes S/</t>
  </si>
  <si>
    <t xml:space="preserve">Corporativo ocupa 40% — 60% libre para Qochix</t>
  </si>
  <si>
    <t xml:space="preserve">Otro trabajo ocupa 30% — 70% libre para Qochix</t>
  </si>
  <si>
    <t xml:space="preserve">3hrs adicionales = 100% para Qochix</t>
  </si>
  <si>
    <t xml:space="preserve">💡 El sweat equity total del ecosistema es S/1,074,980 en 3 años. Si cambias las horas/día en ⚙️ Supuestos, este total cambia automáticamente.</t>
  </si>
  <si>
    <t xml:space="preserve">  TABLA 3 — Capital de Hugo: desglose línea a línea (S/)</t>
  </si>
  <si>
    <t xml:space="preserve">El capital de Hugo no es inventado — es la suma de todo lo que ha puesto en CASH REAL. IMPORTANTE: Los préstamos S/13,000 son DEUDA (Trazo los devuelve a S/2k/mes). Solo la inversión permanente de S/40,243 cuenta para calcular el % matemático de equity.</t>
  </si>
  <si>
    <t xml:space="preserve">Concepto</t>
  </si>
  <si>
    <t xml:space="preserve">Categoría</t>
  </si>
  <si>
    <t xml:space="preserve">Destino</t>
  </si>
  <si>
    <t xml:space="preserve">¿Equity?</t>
  </si>
  <si>
    <t xml:space="preserve">Nota</t>
  </si>
  <si>
    <t xml:space="preserve">Inversión como socio en Trazo</t>
  </si>
  <si>
    <t xml:space="preserve">Capital</t>
  </si>
  <si>
    <t xml:space="preserve">Equity Trazo</t>
  </si>
  <si>
    <t xml:space="preserve">SÍ ✓</t>
  </si>
  <si>
    <t xml:space="preserve">Capital inicial Almaria</t>
  </si>
  <si>
    <t xml:space="preserve">Fondo arranque Almaria</t>
  </si>
  <si>
    <t xml:space="preserve">Google Workspace (anual)</t>
  </si>
  <si>
    <t xml:space="preserve">Herramienta</t>
  </si>
  <si>
    <t xml:space="preserve">Ecosistema 3 marcas</t>
  </si>
  <si>
    <t xml:space="preserve">Metricool EUR 486 (≈S/1,968)</t>
  </si>
  <si>
    <t xml:space="preserve">Gestión redes sociales</t>
  </si>
  <si>
    <t xml:space="preserve">pCloud USD 180 (≈S/675)</t>
  </si>
  <si>
    <t xml:space="preserve">Almacenamiento nube</t>
  </si>
  <si>
    <t xml:space="preserve">Pauta publicitaria inicial</t>
  </si>
  <si>
    <t xml:space="preserve">Marketing</t>
  </si>
  <si>
    <t xml:space="preserve">Primeras campañas</t>
  </si>
  <si>
    <t xml:space="preserve">Diana content creator febrero</t>
  </si>
  <si>
    <t xml:space="preserve">RRHH</t>
  </si>
  <si>
    <t xml:space="preserve">HugoTech — Diana</t>
  </si>
  <si>
    <t xml:space="preserve">Almuerzo kick-off equipo</t>
  </si>
  <si>
    <t xml:space="preserve">Operativo</t>
  </si>
  <si>
    <t xml:space="preserve">Reunión de arranque</t>
  </si>
  <si>
    <t xml:space="preserve">Content creator fin de mes</t>
  </si>
  <si>
    <t xml:space="preserve">Arranque operativo</t>
  </si>
  <si>
    <t xml:space="preserve">Content creator abr-jun (3m)</t>
  </si>
  <si>
    <t xml:space="preserve">Diana continuidad</t>
  </si>
  <si>
    <t xml:space="preserve">Comercial Trazo × 3 meses</t>
  </si>
  <si>
    <t xml:space="preserve">Comercial</t>
  </si>
  <si>
    <t xml:space="preserve">B2B Trazo</t>
  </si>
  <si>
    <t xml:space="preserve">Ads Trazo × 3 meses</t>
  </si>
  <si>
    <t xml:space="preserve">Pauta Trazo</t>
  </si>
  <si>
    <t xml:space="preserve">Ads Almaria × 3 meses</t>
  </si>
  <si>
    <t xml:space="preserve">Pauta Almaria</t>
  </si>
  <si>
    <t xml:space="preserve">Ads HugoTech × 3 meses</t>
  </si>
  <si>
    <t xml:space="preserve">Pauta HugoTech</t>
  </si>
  <si>
    <t xml:space="preserve">▶  SUBTOTAL INVERSIÓN EQUITY</t>
  </si>
  <si>
    <t xml:space="preserve">← Esta es la inversión real que cuenta para el % equity matemático</t>
  </si>
  <si>
    <t xml:space="preserve">  PRÉSTAMOS — Son DEUDA, no equity (Trazo las devuelve)</t>
  </si>
  <si>
    <t xml:space="preserve">⚠️ Estos préstamos los hizo Hugo a Trazo para cubrir déficits. Trazo los devuelve a S/2,000/mes desde julio 2026 hasta enero 2027. NO cuentan como equity porque se recuperan.</t>
  </si>
  <si>
    <t xml:space="preserve">Préstamo Trazo (actual)</t>
  </si>
  <si>
    <t xml:space="preserve">DEUDA</t>
  </si>
  <si>
    <t xml:space="preserve">Para cubrir déficit operativo</t>
  </si>
  <si>
    <t xml:space="preserve">NO ✗</t>
  </si>
  <si>
    <t xml:space="preserve">Trazo devuelve S/2k/mes jul-ene</t>
  </si>
  <si>
    <t xml:space="preserve">Préstamo Trazo (fin de mes)</t>
  </si>
  <si>
    <t xml:space="preserve">Para cubrir déficit fin de mes</t>
  </si>
  <si>
    <t xml:space="preserve">▶  SUBTOTAL PRÉSTAMOS (DEUDA)</t>
  </si>
  <si>
    <t xml:space="preserve">← Se devuelven — no son inversión permanente</t>
  </si>
  <si>
    <t xml:space="preserve">  EXPOSICIÓN TOTAL DE HUGO  </t>
  </si>
  <si>
    <t xml:space="preserve">← Equity permanente + préstamos temporales</t>
  </si>
  <si>
    <t xml:space="preserve">  TABLA 4 — Distribución de equity Qochix</t>
  </si>
  <si>
    <t xml:space="preserve">Inversión total = Ticket + Capital cash + Sweat equity 3 años.
% matemático = lo que sale de la matemática pura.
% propuesto = lo acordado tras negociación (editable en ⚙️ Supuestos).
Hugo cede ~2pts al equipo — equivale a ceder ~S/150k si Qochix vale S/1M.</t>
  </si>
  <si>
    <t xml:space="preserve">% propuesto</t>
  </si>
  <si>
    <t xml:space="preserve">Ticket S/</t>
  </si>
  <si>
    <t xml:space="preserve">Capital S/</t>
  </si>
  <si>
    <t xml:space="preserve">Sweat 3a S/</t>
  </si>
  <si>
    <t xml:space="preserve">TOTAL S/</t>
  </si>
  <si>
    <t xml:space="preserve">% mat.</t>
  </si>
  <si>
    <t xml:space="preserve">Dif.
prop-mat</t>
  </si>
  <si>
    <t xml:space="preserve">Lógica</t>
  </si>
  <si>
    <t xml:space="preserve">Fundador · mayor capital · mayor riesgo · ES HugoTech</t>
  </si>
  <si>
    <t xml:space="preserve">Alma Almaria · estrategia 3 marcas · capital S/20k</t>
  </si>
  <si>
    <t xml:space="preserve">Alianzas · coordinación · capital S/4k</t>
  </si>
  <si>
    <t xml:space="preserve">CEO Trazo · ya cobra sueldo — equity reconoce rol</t>
  </si>
  <si>
    <t xml:space="preserve">PM operativo · ya cobra sueldo — equity reconoce rol</t>
  </si>
  <si>
    <t xml:space="preserve">TOTAL POOL</t>
  </si>
  <si>
    <t xml:space="preserve">Carlos y Nicole tienen % menor que el matemático porque ya cobran de Trazo. Su sacrificio real a Qochix es menor. Hugo cede 2pts al equipo para motivarlos.</t>
  </si>
  <si>
    <t xml:space="preserve">  TABLA 5 — Ticket de entrada a Qochix</t>
  </si>
  <si>
    <t xml:space="preserve">El ticket es una señal de compromiso, no un pago. Si alguien no pone nada en cash, es fácil irse cuando se pone difícil. Total fresco S/25,000 → S/4,800 ads + S/20,200 colchón operativo inicial.</t>
  </si>
  <si>
    <t xml:space="preserve">Ya invierte S/40k+ — el ticket es la señal de compromiso igualitaria</t>
  </si>
  <si>
    <t xml:space="preserve">S/1,667 × 3 meses</t>
  </si>
  <si>
    <t xml:space="preserve">S/1,000 × 5 meses — proporcional a su sueldo</t>
  </si>
  <si>
    <t xml:space="preserve">TOTAL FRESCO QOCHIX</t>
  </si>
  <si>
    <t xml:space="preserve">  TABLA 6 — Vesting + Cliff: cómo se ganan las acciones</t>
  </si>
  <si>
    <t xml:space="preserve">CLIFF (12 meses): mínimo antes de recibir cualquier acción. Si alguien se va antes de abr 2027 → pierde TODO, recupera solo su ticket S/5,000.
VESTING (36 meses): después del cliff, las acciones se ganan gradualmente. Al cliff recibe 33% de golpe; el 67% restante en 24 cuotas mensuales (may 2027 → abr 2029).</t>
  </si>
  <si>
    <t xml:space="preserve">% total</t>
  </si>
  <si>
    <t xml:space="preserve">Cliff
abr 2027
(33%)</t>
  </si>
  <si>
    <t xml:space="preserve">Sep 2027
(+5m)</t>
  </si>
  <si>
    <t xml:space="preserve">Abr 2028
(+12m)</t>
  </si>
  <si>
    <t xml:space="preserve">Abr 2029
(100%)</t>
  </si>
  <si>
    <t xml:space="preserve">Acciones/mes
post-cliff</t>
  </si>
  <si>
    <t xml:space="preserve">Si sale ANTES
del cliff</t>
  </si>
  <si>
    <t xml:space="preserve">Pierde TODO · recupera ticket S/5,000</t>
  </si>
  <si>
    <t xml:space="preserve">  ESCENARIOS DE SALIDA</t>
  </si>
  <si>
    <t xml:space="preserve">Escenario</t>
  </si>
  <si>
    <t xml:space="preserve">¿Qué pasa con las acciones?</t>
  </si>
  <si>
    <t xml:space="preserve">Precio de salida</t>
  </si>
  <si>
    <t xml:space="preserve">Antes del cliff (abr 2026 – mar 2027)</t>
  </si>
  <si>
    <t xml:space="preserve">Pierde TODAS las acciones — 0%</t>
  </si>
  <si>
    <t xml:space="preserve">Solo recupera ticket S/5,000</t>
  </si>
  <si>
    <t xml:space="preserve">Durante el vesting (may 2027 – mar 2029)</t>
  </si>
  <si>
    <t xml:space="preserve">Conserva acciones ya ganadas · pierde las pendientes</t>
  </si>
  <si>
    <t xml:space="preserve">Precio según tipo de salida ↓</t>
  </si>
  <si>
    <t xml:space="preserve">Después del vesting completo (abr 2029+)</t>
  </si>
  <si>
    <t xml:space="preserve">Conserva el 100% — es socio permanente</t>
  </si>
  <si>
    <t xml:space="preserve">Precio de valoración del mercado</t>
  </si>
  <si>
    <t xml:space="preserve">GOOD LEAVER (acuerdo mutuo, enfermedad)</t>
  </si>
  <si>
    <t xml:space="preserve">Conserva acciones ganadas</t>
  </si>
  <si>
    <t xml:space="preserve">Precio de valoración actual (justo)</t>
  </si>
  <si>
    <t xml:space="preserve">BAD LEAVER (abandono, incumplimiento)</t>
  </si>
  <si>
    <t xml:space="preserve">S/1 por acción (pierde valor real)</t>
  </si>
  <si>
    <t xml:space="preserve">Venta a tercero externo</t>
  </si>
  <si>
    <t xml:space="preserve">Debe ofrecer primero a los co-fundadores (30 días)</t>
  </si>
  <si>
    <t xml:space="preserve">Precio igual a la oferta externa</t>
  </si>
  <si>
    <t xml:space="preserve">  TABLA 7 — Facturación por marca 2026-2032 (S/mes)</t>
  </si>
  <si>
    <t xml:space="preserve">Los inputs de Trazo están en ⚙️ Supuestos. Las líneas de Almaria y HugoTech son editables aquí.
NETO 65%: lo que queda tras costos operativos (35% cubre planilla Trazo, tools, ads, logística).
COLCHÓN = Neto - Sueldos equipo. DISTRIBUIBLE = Colchón - Reserva S/3,000 → se reparte como equity.</t>
  </si>
  <si>
    <t xml:space="preserve">Marca / Línea</t>
  </si>
  <si>
    <t xml:space="preserve">Total
2026-32</t>
  </si>
  <si>
    <t xml:space="preserve">  🔷  TRAZO — Agencia premium Lima</t>
  </si>
  <si>
    <t xml:space="preserve">Retainers + consultoría estratégica. Modelo premium: pocos clientes, tickets altos.</t>
  </si>
  <si>
    <t xml:space="preserve">  Retainers + estrategia B2B</t>
  </si>
  <si>
    <t xml:space="preserve">  🌿  ALMARIA — Ceremonias · Rituales · Kits</t>
  </si>
  <si>
    <t xml:space="preserve">Conservador 2027-2029 (equipo en formación). Escala con fe desde 2030 con 3-4 facilitadoras.</t>
  </si>
  <si>
    <t xml:space="preserve">  B2C Kits delivery Lima</t>
  </si>
  <si>
    <t xml:space="preserve">  B2B Ceremonias S/55/persona</t>
  </si>
  <si>
    <t xml:space="preserve">  Rituales (bodas, quinceañeros)</t>
  </si>
  <si>
    <t xml:space="preserve">  → SUBTOTAL ALMARIA</t>
  </si>
  <si>
    <t xml:space="preserve">  ⚡  HUGOTECH — Coaching · Talleres · Full Day · Programa</t>
  </si>
  <si>
    <t xml:space="preserve">1:1 + Talleres B2B (S/1k-1.5k) + Full Day + Campamento + Programa propio (3 cohortes × 3 meses/año)</t>
  </si>
  <si>
    <t xml:space="preserve">  1:1 sesiones coaching</t>
  </si>
  <si>
    <t xml:space="preserve">  Talleres B2B S/1k-1.5k</t>
  </si>
  <si>
    <t xml:space="preserve">  Full Day (16→48 personas)</t>
  </si>
  <si>
    <t xml:space="preserve">  Campamento (4/año, 60p max)</t>
  </si>
  <si>
    <t xml:space="preserve">  Programa propio 3m × 3/año</t>
  </si>
  <si>
    <t xml:space="preserve">  → SUBTOTAL HUGOTECH</t>
  </si>
  <si>
    <t xml:space="preserve">TOTAL QOCHIX</t>
  </si>
  <si>
    <t xml:space="preserve">NETO 65%</t>
  </si>
  <si>
    <t xml:space="preserve">(-) SUELDOS EQUIPO</t>
  </si>
  <si>
    <t xml:space="preserve">COLCHÓN OPERATIVO</t>
  </si>
  <si>
    <t xml:space="preserve">DISTRIBUIBLE A SOCIOS</t>
  </si>
  <si>
    <t xml:space="preserve">  TABLA 8 — Sueldos Qochix 2026-2032 (S/mes)</t>
  </si>
  <si>
    <t xml:space="preserve">Hugo/Rossy/Vera: el sueldo Qochix es ADICIONAL a su trabajo actual hasta el 'cruce'. Carlos/Nicole: es su sueldo principal desde 2026 (ya trabajan en Trazo).
CRUCE = año en que el sueldo Qochix supera al corporativo → la decisión de salida se vuelve obvia.</t>
  </si>
  <si>
    <t xml:space="preserve">Corp hoy
S/mes</t>
  </si>
  <si>
    <t xml:space="preserve">Cruce</t>
  </si>
  <si>
    <t xml:space="preserve">Tope</t>
  </si>
  <si>
    <t xml:space="preserve">S/30k</t>
  </si>
  <si>
    <t xml:space="preserve">ADICIONAL al corp hasta 2032 → decide dejar corporativo</t>
  </si>
  <si>
    <t xml:space="preserve">S/10k</t>
  </si>
  <si>
    <t xml:space="preserve">ADICIONAL al corp hasta 2030 → cruce natural + libertad</t>
  </si>
  <si>
    <t xml:space="preserve">2026 ✓</t>
  </si>
  <si>
    <t xml:space="preserve">Sueldo principal desde 2026 ✓</t>
  </si>
  <si>
    <t xml:space="preserve">S/6k</t>
  </si>
  <si>
    <t xml:space="preserve">💡 HITO HUGO 2032: ese año Qochix le paga S/30,000 = exactamente lo que gana en el corporativo hoy. Es la señal natural para considerar dejar su trabajo actual. Si cambias el sueldo en ⚙️ Supuestos el cruce cambia automáticamente.</t>
  </si>
  <si>
    <t xml:space="preserve">  TABLA 9 — Retorno equity mensual por socio (S/mes) — APARTE del sueldo</t>
  </si>
  <si>
    <t xml:space="preserve">¿Qué es esto? Lo que reciben por ser DUEÑOS del ecosistema — completamente aparte del sueldo.
FÓRMULA: Distribuible del mes × % equity del socio
El distribuible viene de 7️⃣ Facturación (colchón − reserva S/3,000).
2026: no hay distribución (colchón insuficiente). Desde 2027 empieza la distribución real.
Todo en S/mes. Para el anual: multiplicar × 12.</t>
  </si>
  <si>
    <t xml:space="preserve">% equity</t>
  </si>
  <si>
    <t xml:space="preserve">Acum 7a
(anual) S/</t>
  </si>
  <si>
    <t xml:space="preserve">Prom
mensual S/</t>
  </si>
  <si>
    <t xml:space="preserve">DISTRIBUIBLE TOTAL</t>
  </si>
  <si>
    <t xml:space="preserve">Ejemplo Hugo 2032: S/91,473/mes equity × 12 = S/1,097,676/año. Aparte de su sueldo S/30,000/mes. El equity crece con el ecosistema — depende de que las marcas generen distribuible.</t>
  </si>
  <si>
    <t xml:space="preserve">  TABLA 10 — Sueldo + Equity = ingreso total mensual (S/mes)</t>
  </si>
  <si>
    <t xml:space="preserve">Suma los dos flujos de Qochix para cada socio:
1) SUELDO QOCHIX: pago por el trabajo (editable en ⚙️ Supuestos)
2) RETORNO EQUITY: pago por ser dueño (calculado en 9️⃣ Equity Anual)
Todo en S/mes. Para el anual: multiplicar × 12.</t>
  </si>
  <si>
    <t xml:space="preserve">Acum 7a S/</t>
  </si>
  <si>
    <t xml:space="preserve">Total
2032 S/mes</t>
  </si>
  <si>
    <t xml:space="preserve">  TABLA 11 — ROI: inversión total vs retorno acumulado 7 años</t>
  </si>
  <si>
    <t xml:space="preserve">ROI = Retorno total 7 años ÷ Inversión total.
Inversión = ticket + capital cash + sweat equity 3 años.
Retorno 7a = suma de (sueldo Qochix + equity mensual) × 12, para cada año 2026-2032.
×total 2032 = cuántas veces multiplica su sueldo actual con sueldo+equity en 2032.</t>
  </si>
  <si>
    <t xml:space="preserve">Total
invertido S/</t>
  </si>
  <si>
    <t xml:space="preserve">Retorno
7 años S/</t>
  </si>
  <si>
    <t xml:space="preserve">ROI</t>
  </si>
  <si>
    <t xml:space="preserve">×total
vs hoy</t>
  </si>
  <si>
    <t xml:space="preserve">ROI anual
promedio</t>
  </si>
  <si>
    <t xml:space="preserve">Punto eq.
aprox.</t>
  </si>
  <si>
    <t xml:space="preserve">Inversión grande pero retorno enorme. Patrimonio adicional S/1.9M-3.8M en 2032</t>
  </si>
  <si>
    <t xml:space="preserve">Muy buen ROI. Capital + tiempo reconocidos. Almaria es suya</t>
  </si>
  <si>
    <t xml:space="preserve">Buen ROI. Sweat equity alto reconocido en el % propuesto</t>
  </si>
  <si>
    <t xml:space="preserve">ROI alto porque ya cobra Trazo — inversión Qochix pequeña. 6% reconoce rol CEO</t>
  </si>
  <si>
    <t xml:space="preserve">ROI alto porque ya cobra Trazo — inversión Qochix pequeña. 3% reconoce rol PM</t>
  </si>
  <si>
    <t xml:space="preserve">⚠️ El ROI de Carlos y Nicole es alto porque su inversión en Qochix es pequeña (ya cobran de Trazo). No es un error — tienen una posición privilegiada: cobran desde el día 1 Y participan del equity.</t>
  </si>
  <si>
    <t xml:space="preserve">  🎯  TABLA 12 — La apuesta final: HOY vs QOCHIX 2032 (todo S/mes)</t>
  </si>
  <si>
    <t xml:space="preserve">La tabla más importante. Todo en S/mes.
SUELDO 32: sueldo Qochix en 2032 · EQUITY 32: retorno por ser dueño (aparte del sueldo)
TOTAL 32 = Sueldo + Equity · ×equity = cuántas veces el equity solo multiplica su sueldo hoy
×total = cuántas veces el sueldo+equity juntos multiplican su sueldo hoy</t>
  </si>
  <si>
    <t xml:space="preserve">Gana HOY
S/mes</t>
  </si>
  <si>
    <t xml:space="preserve">2027
S/mes</t>
  </si>
  <si>
    <t xml:space="preserve">2029
S/mes</t>
  </si>
  <si>
    <t xml:space="preserve">Sueldo
2032 S/</t>
  </si>
  <si>
    <t xml:space="preserve">Equity
2032 S/</t>
  </si>
  <si>
    <t xml:space="preserve">TOTAL
2032 S/</t>
  </si>
  <si>
    <t xml:space="preserve">×equity
vs hoy</t>
  </si>
  <si>
    <t xml:space="preserve">Ganancia
S/mes 2032</t>
  </si>
  <si>
    <t xml:space="preserve">Veredicto</t>
  </si>
  <si>
    <t xml:space="preserve">Multiplica ×4.0 su sueldo actual. Más patrimonio S/1.9M-3.8M</t>
  </si>
  <si>
    <t xml:space="preserve">Multiplica ×5.0 su sueldo actual. Almaria es suya</t>
  </si>
  <si>
    <t xml:space="preserve">Multiplica ×4.0 su sueldo actual. Alianzas reconocidas</t>
  </si>
  <si>
    <t xml:space="preserve">Multiplica ×3.7 su sueldo actual. Trazo crece, él crece</t>
  </si>
  <si>
    <t xml:space="preserve">Multiplica ×5.2 su sueldo actual. De S/2k a S/10k en 6 años</t>
  </si>
  <si>
    <t xml:space="preserve">  🎯  LA PREGUNTA DEL 2 DE ABRIL</t>
  </si>
  <si>
    <t xml:space="preserve">¿Estás dispuesto a invertir tu tiempo y dinero hoy para multiplicar tu ingreso mensual entre ×3.7 y ×5.2 en 6 años — más el valor patrimonial de ser dueño de Qochix?</t>
  </si>
  <si>
    <t xml:space="preserve">  ✅  SÍ → firma el pacto de socios antes del 15 de abril</t>
  </si>
  <si>
    <t xml:space="preserve">  ⚠️  HAY DUDAS → hay que hablarlas el 2 de abril, no después</t>
  </si>
  <si>
    <t xml:space="preserve">  VALOR PATRIMONIAL DE HUGO (63% de Qochix) — adicional al sueldo y equity mensual</t>
  </si>
  <si>
    <t xml:space="preserve">Si Qochix se valorara o vendiera, esto es lo que vale el 63% de Hugo. Independiente de los ingresos mensuales. Edita la valoración (azul) para ver distintos escenarios.</t>
  </si>
  <si>
    <t xml:space="preserve">Valoración Qochix S/</t>
  </si>
  <si>
    <t xml:space="preserve">% Hugo</t>
  </si>
  <si>
    <t xml:space="preserve">Valor patrimonio Hugo S/</t>
  </si>
  <si>
    <t xml:space="preserve">Escenario conservador</t>
  </si>
  <si>
    <t xml:space="preserve">Escenario base</t>
  </si>
  <si>
    <t xml:space="preserve">Escenario optimista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</si>
</sst>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0.0"/>
    <numFmt numFmtId="167" formatCode="0%"/>
    <numFmt numFmtId="168" formatCode="General"/>
    <numFmt numFmtId="169" formatCode="0.00"/>
    <numFmt numFmtId="170" formatCode="0.0%"/>
    <numFmt numFmtId="171" formatCode="\+0.0%;\-0.0%;0.0%"/>
    <numFmt numFmtId="172" formatCode="0.00%"/>
    <numFmt numFmtId="173" formatCode="0.000%"/>
    <numFmt numFmtId="174" formatCode="0.0\x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2E6DA4"/>
      <name val="Calibri"/>
      <family val="0"/>
      <charset val="1"/>
    </font>
    <font>
      <i val="true"/>
      <sz val="9"/>
      <color rgb="FF75757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565C0"/>
      <name val="Calibri"/>
      <family val="0"/>
      <charset val="1"/>
    </font>
    <font>
      <sz val="9"/>
      <color rgb="FF1A1A2E"/>
      <name val="Calibri"/>
      <family val="0"/>
      <charset val="1"/>
    </font>
    <font>
      <sz val="9"/>
      <color rgb="FF2E7D32"/>
      <name val="Calibri"/>
      <family val="0"/>
      <charset val="1"/>
    </font>
    <font>
      <sz val="9"/>
      <color rgb="FF757575"/>
      <name val="Calibri"/>
      <family val="0"/>
      <charset val="1"/>
    </font>
    <font>
      <sz val="9"/>
      <color rgb="FFC62828"/>
      <name val="Calibri"/>
      <family val="0"/>
      <charset val="1"/>
    </font>
    <font>
      <b val="true"/>
      <sz val="11"/>
      <color rgb="FF1F3A5F"/>
      <name val="Calibri"/>
      <family val="0"/>
      <charset val="1"/>
    </font>
    <font>
      <b val="true"/>
      <sz val="10"/>
      <color rgb="FF1A1A2E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b val="true"/>
      <sz val="10"/>
      <color rgb="FFC62828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0"/>
      <color rgb="FF1565C0"/>
      <name val="Calibri"/>
      <family val="0"/>
      <charset val="1"/>
    </font>
    <font>
      <sz val="10"/>
      <color rgb="FF757575"/>
      <name val="Calibri"/>
      <family val="0"/>
      <charset val="1"/>
    </font>
    <font>
      <b val="true"/>
      <sz val="10"/>
      <color rgb="FF1F3A5F"/>
      <name val="Calibri"/>
      <family val="0"/>
      <charset val="1"/>
    </font>
    <font>
      <sz val="10"/>
      <color rgb="FF1A1A2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2E7D32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3"/>
      <color rgb="FF1F3A5F"/>
      <name val="Calibri"/>
      <family val="0"/>
      <charset val="1"/>
    </font>
    <font>
      <sz val="10"/>
      <color rgb="FFC62828"/>
      <name val="Calibri"/>
      <family val="0"/>
      <charset val="1"/>
    </font>
    <font>
      <b val="true"/>
      <sz val="13"/>
      <color rgb="FFC62828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1565C0"/>
      <name val="Calibri"/>
      <family val="0"/>
      <charset val="1"/>
    </font>
    <font>
      <sz val="10"/>
      <name val="Calibri"/>
      <family val="0"/>
      <charset val="1"/>
    </font>
    <font>
      <b val="true"/>
      <sz val="9"/>
      <color rgb="FFC62828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1A1A2E"/>
      <name val="Calibri"/>
      <family val="0"/>
      <charset val="1"/>
    </font>
    <font>
      <b val="true"/>
      <sz val="13"/>
      <name val="Calibri"/>
      <family val="0"/>
      <charset val="1"/>
    </font>
    <font>
      <b val="true"/>
      <sz val="12"/>
      <color rgb="FF1F3A5F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4"/>
      <color rgb="FF1F3A5F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FFF"/>
        <bgColor rgb="FFFFFDE7"/>
      </patternFill>
    </fill>
    <fill>
      <patternFill patternType="solid">
        <fgColor rgb="FFF5F5F5"/>
        <bgColor rgb="FFF0F4F8"/>
      </patternFill>
    </fill>
    <fill>
      <patternFill patternType="solid">
        <fgColor rgb="FF2E6DA4"/>
        <bgColor rgb="FF1565C0"/>
      </patternFill>
    </fill>
    <fill>
      <patternFill patternType="solid">
        <fgColor rgb="FFF0F4F8"/>
        <bgColor rgb="FFF5F5F5"/>
      </patternFill>
    </fill>
    <fill>
      <patternFill patternType="solid">
        <fgColor rgb="FFFFFDE7"/>
        <bgColor rgb="FFFFF3E0"/>
      </patternFill>
    </fill>
    <fill>
      <patternFill patternType="solid">
        <fgColor rgb="FFE8F5E9"/>
        <bgColor rgb="FFF0F4F8"/>
      </patternFill>
    </fill>
    <fill>
      <patternFill patternType="solid">
        <fgColor rgb="FFFDECEA"/>
        <bgColor rgb="FFFCE4EC"/>
      </patternFill>
    </fill>
    <fill>
      <patternFill patternType="solid">
        <fgColor rgb="FFFFF3E0"/>
        <bgColor rgb="FFFDECEA"/>
      </patternFill>
    </fill>
    <fill>
      <patternFill patternType="solid">
        <fgColor rgb="FFFCE4EC"/>
        <bgColor rgb="FFFDECEA"/>
      </patternFill>
    </fill>
    <fill>
      <patternFill patternType="solid">
        <fgColor rgb="FFEDE7F6"/>
        <bgColor rgb="FFFCE4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medium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57575"/>
      <rgbColor rgb="FF9999FF"/>
      <rgbColor rgb="FF993366"/>
      <rgbColor rgb="FFFFFDE7"/>
      <rgbColor rgb="FFE8F5E9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F5F5F5"/>
      <rgbColor rgb="FFFFF3E0"/>
      <rgbColor rgb="FFFDECEA"/>
      <rgbColor rgb="FFFF99CC"/>
      <rgbColor rgb="FFCC99FF"/>
      <rgbColor rgb="FFFCE4EC"/>
      <rgbColor rgb="FF2E6DA4"/>
      <rgbColor rgb="FF33CCCC"/>
      <rgbColor rgb="FF99CC00"/>
      <rgbColor rgb="FFFFCC00"/>
      <rgbColor rgb="FFFF9900"/>
      <rgbColor rgb="FFFF6600"/>
      <rgbColor rgb="FF666699"/>
      <rgbColor rgb="FF999999"/>
      <rgbColor rgb="FF1F3A5F"/>
      <rgbColor rgb="FF2E7D32"/>
      <rgbColor rgb="FF003300"/>
      <rgbColor rgb="FF333300"/>
      <rgbColor rgb="FFC62828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55"/>
    <col collapsed="false" customWidth="true" hidden="false" outlineLevel="0" max="7" min="4" style="1" width="5"/>
    <col collapsed="false" customWidth="true" hidden="false" outlineLevel="0" max="8" min="8" style="1" width="20"/>
    <col collapsed="false" customWidth="true" hidden="false" outlineLevel="0" max="10" min="9" style="1" width="5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  <c r="R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21.75" hidden="false" customHeight="true" outlineLevel="0" collapsed="false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3"/>
      <c r="L4" s="3"/>
      <c r="M4" s="3"/>
      <c r="N4" s="3"/>
      <c r="O4" s="3"/>
      <c r="P4" s="3"/>
      <c r="Q4" s="3"/>
      <c r="R4" s="3"/>
    </row>
    <row r="5" customFormat="false" ht="21.7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3"/>
      <c r="L5" s="3"/>
      <c r="M5" s="3"/>
      <c r="N5" s="3"/>
      <c r="O5" s="3"/>
      <c r="P5" s="3"/>
      <c r="Q5" s="3"/>
      <c r="R5" s="3"/>
    </row>
    <row r="6" customFormat="false" ht="1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customFormat="false" ht="21.75" hidden="false" customHeight="true" outlineLevel="0" collapsed="false">
      <c r="A7" s="6" t="s">
        <v>3</v>
      </c>
      <c r="B7" s="6"/>
      <c r="C7" s="6" t="s">
        <v>4</v>
      </c>
      <c r="D7" s="6"/>
      <c r="E7" s="6"/>
      <c r="F7" s="6"/>
      <c r="G7" s="6"/>
      <c r="H7" s="7" t="s">
        <v>5</v>
      </c>
      <c r="I7" s="7"/>
      <c r="J7" s="7"/>
      <c r="K7" s="3"/>
      <c r="L7" s="3"/>
      <c r="M7" s="3"/>
      <c r="N7" s="3"/>
      <c r="O7" s="3"/>
      <c r="P7" s="3"/>
      <c r="Q7" s="3"/>
      <c r="R7" s="3"/>
    </row>
    <row r="8" customFormat="false" ht="21.75" hidden="false" customHeight="true" outlineLevel="0" collapsed="false">
      <c r="A8" s="8" t="s">
        <v>6</v>
      </c>
      <c r="B8" s="8"/>
      <c r="C8" s="9" t="s">
        <v>7</v>
      </c>
      <c r="D8" s="9"/>
      <c r="E8" s="9"/>
      <c r="F8" s="9"/>
      <c r="G8" s="9"/>
      <c r="H8" s="10" t="s">
        <v>8</v>
      </c>
      <c r="I8" s="10"/>
      <c r="J8" s="10"/>
      <c r="K8" s="3"/>
      <c r="L8" s="3"/>
      <c r="M8" s="3"/>
      <c r="N8" s="3"/>
      <c r="O8" s="3"/>
      <c r="P8" s="3"/>
      <c r="Q8" s="3"/>
      <c r="R8" s="3"/>
    </row>
    <row r="9" customFormat="false" ht="21.75" hidden="false" customHeight="true" outlineLevel="0" collapsed="false">
      <c r="A9" s="11" t="s">
        <v>9</v>
      </c>
      <c r="B9" s="11"/>
      <c r="C9" s="12" t="s">
        <v>10</v>
      </c>
      <c r="D9" s="12"/>
      <c r="E9" s="12"/>
      <c r="F9" s="12"/>
      <c r="G9" s="12"/>
      <c r="H9" s="13" t="s">
        <v>11</v>
      </c>
      <c r="I9" s="13"/>
      <c r="J9" s="13"/>
      <c r="K9" s="3"/>
      <c r="L9" s="3"/>
      <c r="M9" s="3"/>
      <c r="N9" s="3"/>
      <c r="O9" s="3"/>
      <c r="P9" s="3"/>
      <c r="Q9" s="3"/>
      <c r="R9" s="3"/>
    </row>
    <row r="10" customFormat="false" ht="21.75" hidden="false" customHeight="true" outlineLevel="0" collapsed="false">
      <c r="A10" s="8" t="s">
        <v>12</v>
      </c>
      <c r="B10" s="8"/>
      <c r="C10" s="9" t="s">
        <v>13</v>
      </c>
      <c r="D10" s="9"/>
      <c r="E10" s="9"/>
      <c r="F10" s="9"/>
      <c r="G10" s="9"/>
      <c r="H10" s="14" t="s">
        <v>11</v>
      </c>
      <c r="I10" s="14"/>
      <c r="J10" s="14"/>
      <c r="K10" s="3"/>
      <c r="L10" s="3"/>
      <c r="M10" s="3"/>
      <c r="N10" s="3"/>
      <c r="O10" s="3"/>
      <c r="P10" s="3"/>
      <c r="Q10" s="3"/>
      <c r="R10" s="3"/>
    </row>
    <row r="11" customFormat="false" ht="21.75" hidden="false" customHeight="true" outlineLevel="0" collapsed="false">
      <c r="A11" s="11" t="s">
        <v>14</v>
      </c>
      <c r="B11" s="11"/>
      <c r="C11" s="12" t="s">
        <v>15</v>
      </c>
      <c r="D11" s="12"/>
      <c r="E11" s="12"/>
      <c r="F11" s="12"/>
      <c r="G11" s="12"/>
      <c r="H11" s="13" t="s">
        <v>11</v>
      </c>
      <c r="I11" s="13"/>
      <c r="J11" s="13"/>
      <c r="K11" s="3"/>
      <c r="L11" s="3"/>
      <c r="M11" s="3"/>
      <c r="N11" s="3"/>
      <c r="O11" s="3"/>
      <c r="P11" s="3"/>
      <c r="Q11" s="3"/>
      <c r="R11" s="3"/>
    </row>
    <row r="12" customFormat="false" ht="21.75" hidden="false" customHeight="true" outlineLevel="0" collapsed="false">
      <c r="A12" s="8" t="s">
        <v>16</v>
      </c>
      <c r="B12" s="8"/>
      <c r="C12" s="9" t="s">
        <v>17</v>
      </c>
      <c r="D12" s="9"/>
      <c r="E12" s="9"/>
      <c r="F12" s="9"/>
      <c r="G12" s="9"/>
      <c r="H12" s="14" t="s">
        <v>18</v>
      </c>
      <c r="I12" s="14"/>
      <c r="J12" s="14"/>
      <c r="K12" s="3"/>
      <c r="L12" s="3"/>
      <c r="M12" s="3"/>
      <c r="N12" s="3"/>
      <c r="O12" s="3"/>
      <c r="P12" s="3"/>
      <c r="Q12" s="3"/>
      <c r="R12" s="3"/>
    </row>
    <row r="13" customFormat="false" ht="21.75" hidden="false" customHeight="true" outlineLevel="0" collapsed="false">
      <c r="A13" s="11" t="s">
        <v>19</v>
      </c>
      <c r="B13" s="11"/>
      <c r="C13" s="12" t="s">
        <v>20</v>
      </c>
      <c r="D13" s="12"/>
      <c r="E13" s="12"/>
      <c r="F13" s="12"/>
      <c r="G13" s="12"/>
      <c r="H13" s="13" t="s">
        <v>11</v>
      </c>
      <c r="I13" s="13"/>
      <c r="J13" s="13"/>
      <c r="K13" s="3"/>
      <c r="L13" s="3"/>
      <c r="M13" s="3"/>
      <c r="N13" s="3"/>
      <c r="O13" s="3"/>
      <c r="P13" s="3"/>
      <c r="Q13" s="3"/>
      <c r="R13" s="3"/>
    </row>
    <row r="14" customFormat="false" ht="21.75" hidden="false" customHeight="true" outlineLevel="0" collapsed="false">
      <c r="A14" s="8" t="s">
        <v>21</v>
      </c>
      <c r="B14" s="8"/>
      <c r="C14" s="9" t="s">
        <v>22</v>
      </c>
      <c r="D14" s="9"/>
      <c r="E14" s="9"/>
      <c r="F14" s="9"/>
      <c r="G14" s="9"/>
      <c r="H14" s="14" t="s">
        <v>18</v>
      </c>
      <c r="I14" s="14"/>
      <c r="J14" s="14"/>
      <c r="K14" s="3"/>
      <c r="L14" s="3"/>
      <c r="M14" s="3"/>
      <c r="N14" s="3"/>
      <c r="O14" s="3"/>
      <c r="P14" s="3"/>
      <c r="Q14" s="3"/>
      <c r="R14" s="3"/>
    </row>
    <row r="15" customFormat="false" ht="21.75" hidden="false" customHeight="true" outlineLevel="0" collapsed="false">
      <c r="A15" s="11" t="s">
        <v>23</v>
      </c>
      <c r="B15" s="11"/>
      <c r="C15" s="12" t="s">
        <v>24</v>
      </c>
      <c r="D15" s="12"/>
      <c r="E15" s="12"/>
      <c r="F15" s="12"/>
      <c r="G15" s="12"/>
      <c r="H15" s="15" t="s">
        <v>25</v>
      </c>
      <c r="I15" s="15"/>
      <c r="J15" s="15"/>
      <c r="K15" s="3"/>
      <c r="L15" s="3"/>
      <c r="M15" s="3"/>
      <c r="N15" s="3"/>
      <c r="O15" s="3"/>
      <c r="P15" s="3"/>
      <c r="Q15" s="3"/>
      <c r="R15" s="3"/>
    </row>
    <row r="16" customFormat="false" ht="21.75" hidden="false" customHeight="true" outlineLevel="0" collapsed="false">
      <c r="A16" s="8" t="s">
        <v>26</v>
      </c>
      <c r="B16" s="8"/>
      <c r="C16" s="9" t="s">
        <v>27</v>
      </c>
      <c r="D16" s="9"/>
      <c r="E16" s="9"/>
      <c r="F16" s="9"/>
      <c r="G16" s="9"/>
      <c r="H16" s="14" t="s">
        <v>11</v>
      </c>
      <c r="I16" s="14"/>
      <c r="J16" s="14"/>
      <c r="K16" s="3"/>
      <c r="L16" s="3"/>
      <c r="M16" s="3"/>
      <c r="N16" s="3"/>
      <c r="O16" s="3"/>
      <c r="P16" s="3"/>
      <c r="Q16" s="3"/>
      <c r="R16" s="3"/>
    </row>
    <row r="17" customFormat="false" ht="21.75" hidden="false" customHeight="true" outlineLevel="0" collapsed="false">
      <c r="A17" s="11" t="s">
        <v>28</v>
      </c>
      <c r="B17" s="11"/>
      <c r="C17" s="12" t="s">
        <v>29</v>
      </c>
      <c r="D17" s="12"/>
      <c r="E17" s="12"/>
      <c r="F17" s="12"/>
      <c r="G17" s="12"/>
      <c r="H17" s="13" t="s">
        <v>18</v>
      </c>
      <c r="I17" s="13"/>
      <c r="J17" s="13"/>
      <c r="K17" s="3"/>
      <c r="L17" s="3"/>
      <c r="M17" s="3"/>
      <c r="N17" s="3"/>
      <c r="O17" s="3"/>
      <c r="P17" s="3"/>
      <c r="Q17" s="3"/>
      <c r="R17" s="3"/>
    </row>
    <row r="18" customFormat="false" ht="21.75" hidden="false" customHeight="true" outlineLevel="0" collapsed="false">
      <c r="A18" s="8" t="s">
        <v>30</v>
      </c>
      <c r="B18" s="8"/>
      <c r="C18" s="9" t="s">
        <v>31</v>
      </c>
      <c r="D18" s="9"/>
      <c r="E18" s="9"/>
      <c r="F18" s="9"/>
      <c r="G18" s="9"/>
      <c r="H18" s="14" t="s">
        <v>18</v>
      </c>
      <c r="I18" s="14"/>
      <c r="J18" s="14"/>
      <c r="K18" s="3"/>
      <c r="L18" s="3"/>
      <c r="M18" s="3"/>
      <c r="N18" s="3"/>
      <c r="O18" s="3"/>
      <c r="P18" s="3"/>
      <c r="Q18" s="3"/>
      <c r="R18" s="3"/>
    </row>
    <row r="19" customFormat="false" ht="21.75" hidden="false" customHeight="true" outlineLevel="0" collapsed="false">
      <c r="A19" s="11" t="s">
        <v>32</v>
      </c>
      <c r="B19" s="11"/>
      <c r="C19" s="12" t="s">
        <v>33</v>
      </c>
      <c r="D19" s="12"/>
      <c r="E19" s="12"/>
      <c r="F19" s="12"/>
      <c r="G19" s="12"/>
      <c r="H19" s="13" t="s">
        <v>18</v>
      </c>
      <c r="I19" s="13"/>
      <c r="J19" s="13"/>
      <c r="K19" s="3"/>
      <c r="L19" s="3"/>
      <c r="M19" s="3"/>
      <c r="N19" s="3"/>
      <c r="O19" s="3"/>
      <c r="P19" s="3"/>
      <c r="Q19" s="3"/>
      <c r="R19" s="3"/>
    </row>
    <row r="20" customFormat="false" ht="21.75" hidden="false" customHeight="true" outlineLevel="0" collapsed="false">
      <c r="A20" s="8" t="s">
        <v>34</v>
      </c>
      <c r="B20" s="8"/>
      <c r="C20" s="9" t="s">
        <v>35</v>
      </c>
      <c r="D20" s="9"/>
      <c r="E20" s="9"/>
      <c r="F20" s="9"/>
      <c r="G20" s="9"/>
      <c r="H20" s="16" t="s">
        <v>36</v>
      </c>
      <c r="I20" s="16"/>
      <c r="J20" s="16"/>
      <c r="K20" s="3"/>
      <c r="L20" s="3"/>
      <c r="M20" s="3"/>
      <c r="N20" s="3"/>
      <c r="O20" s="3"/>
      <c r="P20" s="3"/>
      <c r="Q20" s="3"/>
      <c r="R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customFormat="false" ht="24" hidden="false" customHeight="true" outlineLevel="0" collapsed="false">
      <c r="A22" s="17" t="s">
        <v>37</v>
      </c>
      <c r="B22" s="17"/>
      <c r="C22" s="17"/>
      <c r="D22" s="17"/>
      <c r="E22" s="17"/>
      <c r="F22" s="17"/>
      <c r="G22" s="17"/>
      <c r="H22" s="17"/>
      <c r="I22" s="17"/>
      <c r="J22" s="17"/>
      <c r="K22" s="3"/>
      <c r="L22" s="3"/>
      <c r="M22" s="3"/>
      <c r="N22" s="3"/>
      <c r="O22" s="3"/>
      <c r="P22" s="3"/>
      <c r="Q22" s="3"/>
      <c r="R22" s="3"/>
    </row>
    <row r="23" customFormat="false" ht="19.5" hidden="false" customHeight="true" outlineLevel="0" collapsed="false">
      <c r="A23" s="18" t="s">
        <v>38</v>
      </c>
      <c r="B23" s="18"/>
      <c r="C23" s="19" t="s">
        <v>39</v>
      </c>
      <c r="D23" s="19"/>
      <c r="E23" s="19"/>
      <c r="F23" s="19"/>
      <c r="G23" s="19"/>
      <c r="H23" s="19"/>
      <c r="I23" s="19"/>
      <c r="J23" s="19"/>
      <c r="K23" s="3"/>
      <c r="L23" s="3"/>
      <c r="M23" s="3"/>
      <c r="N23" s="3"/>
      <c r="O23" s="3"/>
      <c r="P23" s="3"/>
      <c r="Q23" s="3"/>
      <c r="R23" s="3"/>
    </row>
    <row r="24" customFormat="false" ht="19.5" hidden="false" customHeight="true" outlineLevel="0" collapsed="false">
      <c r="A24" s="20" t="s">
        <v>40</v>
      </c>
      <c r="B24" s="20"/>
      <c r="C24" s="19" t="s">
        <v>41</v>
      </c>
      <c r="D24" s="19"/>
      <c r="E24" s="19"/>
      <c r="F24" s="19"/>
      <c r="G24" s="19"/>
      <c r="H24" s="19"/>
      <c r="I24" s="19"/>
      <c r="J24" s="19"/>
      <c r="K24" s="3"/>
      <c r="L24" s="3"/>
      <c r="M24" s="3"/>
      <c r="N24" s="3"/>
      <c r="O24" s="3"/>
      <c r="P24" s="3"/>
      <c r="Q24" s="3"/>
      <c r="R24" s="3"/>
    </row>
    <row r="25" customFormat="false" ht="19.5" hidden="false" customHeight="true" outlineLevel="0" collapsed="false">
      <c r="A25" s="21" t="s">
        <v>42</v>
      </c>
      <c r="B25" s="21"/>
      <c r="C25" s="19" t="s">
        <v>43</v>
      </c>
      <c r="D25" s="19"/>
      <c r="E25" s="19"/>
      <c r="F25" s="19"/>
      <c r="G25" s="19"/>
      <c r="H25" s="19"/>
      <c r="I25" s="19"/>
      <c r="J25" s="19"/>
      <c r="K25" s="3"/>
      <c r="L25" s="3"/>
      <c r="M25" s="3"/>
      <c r="N25" s="3"/>
      <c r="O25" s="3"/>
      <c r="P25" s="3"/>
      <c r="Q25" s="3"/>
      <c r="R25" s="3"/>
    </row>
    <row r="26" customFormat="false" ht="19.5" hidden="false" customHeight="true" outlineLevel="0" collapsed="false">
      <c r="A26" s="22" t="s">
        <v>44</v>
      </c>
      <c r="B26" s="22"/>
      <c r="C26" s="19" t="s">
        <v>45</v>
      </c>
      <c r="D26" s="19"/>
      <c r="E26" s="19"/>
      <c r="F26" s="19"/>
      <c r="G26" s="19"/>
      <c r="H26" s="19"/>
      <c r="I26" s="19"/>
      <c r="J26" s="19"/>
      <c r="K26" s="3"/>
      <c r="L26" s="3"/>
      <c r="M26" s="3"/>
      <c r="N26" s="3"/>
      <c r="O26" s="3"/>
      <c r="P26" s="3"/>
      <c r="Q26" s="3"/>
      <c r="R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</sheetData>
  <mergeCells count="54">
    <mergeCell ref="A1:J1"/>
    <mergeCell ref="A2:J2"/>
    <mergeCell ref="A4:J5"/>
    <mergeCell ref="A7:B7"/>
    <mergeCell ref="C7:G7"/>
    <mergeCell ref="H7:J7"/>
    <mergeCell ref="A8:B8"/>
    <mergeCell ref="C8:G8"/>
    <mergeCell ref="H8:J8"/>
    <mergeCell ref="A9:B9"/>
    <mergeCell ref="C9:G9"/>
    <mergeCell ref="H9:J9"/>
    <mergeCell ref="A10:B10"/>
    <mergeCell ref="C10:G10"/>
    <mergeCell ref="H10:J10"/>
    <mergeCell ref="A11:B11"/>
    <mergeCell ref="C11:G11"/>
    <mergeCell ref="H11:J11"/>
    <mergeCell ref="A12:B12"/>
    <mergeCell ref="C12:G12"/>
    <mergeCell ref="H12:J12"/>
    <mergeCell ref="A13:B13"/>
    <mergeCell ref="C13:G13"/>
    <mergeCell ref="H13:J13"/>
    <mergeCell ref="A14:B14"/>
    <mergeCell ref="C14:G14"/>
    <mergeCell ref="H14:J14"/>
    <mergeCell ref="A15:B15"/>
    <mergeCell ref="C15:G15"/>
    <mergeCell ref="H15:J15"/>
    <mergeCell ref="A16:B16"/>
    <mergeCell ref="C16:G16"/>
    <mergeCell ref="H16:J16"/>
    <mergeCell ref="A17:B17"/>
    <mergeCell ref="C17:G17"/>
    <mergeCell ref="H17:J17"/>
    <mergeCell ref="A18:B18"/>
    <mergeCell ref="C18:G18"/>
    <mergeCell ref="H18:J18"/>
    <mergeCell ref="A19:B19"/>
    <mergeCell ref="C19:G19"/>
    <mergeCell ref="H19:J19"/>
    <mergeCell ref="A20:B20"/>
    <mergeCell ref="C20:G20"/>
    <mergeCell ref="H20:J20"/>
    <mergeCell ref="A22:J22"/>
    <mergeCell ref="A23:B23"/>
    <mergeCell ref="C23:J23"/>
    <mergeCell ref="A24:B24"/>
    <mergeCell ref="C24:J24"/>
    <mergeCell ref="A25:B25"/>
    <mergeCell ref="C25:J25"/>
    <mergeCell ref="A26:B26"/>
    <mergeCell ref="C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8" min="4" style="1" width="13"/>
    <col collapsed="false" customWidth="true" hidden="false" outlineLevel="0" max="10" min="9" style="1" width="20"/>
  </cols>
  <sheetData>
    <row r="1" customFormat="false" ht="31.5" hidden="false" customHeight="true" outlineLevel="0" collapsed="false">
      <c r="A1" s="23" t="s">
        <v>46</v>
      </c>
      <c r="B1" s="23"/>
      <c r="C1" s="23"/>
      <c r="D1" s="23"/>
      <c r="E1" s="23"/>
      <c r="F1" s="23"/>
      <c r="G1" s="23"/>
      <c r="H1" s="23"/>
      <c r="I1" s="23"/>
      <c r="J1" s="23"/>
      <c r="K1" s="3"/>
      <c r="L1" s="3"/>
      <c r="M1" s="3"/>
      <c r="N1" s="3"/>
      <c r="O1" s="3"/>
      <c r="P1" s="3"/>
      <c r="Q1" s="3"/>
      <c r="R1" s="3"/>
    </row>
    <row r="2" customFormat="false" ht="21.75" hidden="false" customHeight="true" outlineLevel="0" collapsed="false">
      <c r="A2" s="5" t="s">
        <v>47</v>
      </c>
      <c r="B2" s="5"/>
      <c r="C2" s="5"/>
      <c r="D2" s="5"/>
      <c r="E2" s="5"/>
      <c r="F2" s="5"/>
      <c r="G2" s="5"/>
      <c r="H2" s="5"/>
      <c r="I2" s="5"/>
      <c r="J2" s="5"/>
      <c r="K2" s="3"/>
      <c r="L2" s="3"/>
      <c r="M2" s="3"/>
      <c r="N2" s="3"/>
      <c r="O2" s="3"/>
      <c r="P2" s="3"/>
      <c r="Q2" s="3"/>
      <c r="R2" s="3"/>
    </row>
    <row r="3" customFormat="false" ht="21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3"/>
      <c r="L3" s="3"/>
      <c r="M3" s="3"/>
      <c r="N3" s="3"/>
      <c r="O3" s="3"/>
      <c r="P3" s="3"/>
      <c r="Q3" s="3"/>
      <c r="R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24" hidden="false" customHeight="true" outlineLevel="0" collapsed="false">
      <c r="A5" s="17" t="s">
        <v>48</v>
      </c>
      <c r="B5" s="17"/>
      <c r="C5" s="17"/>
      <c r="D5" s="17"/>
      <c r="E5" s="17"/>
      <c r="F5" s="17"/>
      <c r="G5" s="17"/>
      <c r="H5" s="17"/>
      <c r="I5" s="17"/>
      <c r="J5" s="17"/>
      <c r="K5" s="3"/>
      <c r="L5" s="3"/>
      <c r="M5" s="3"/>
      <c r="N5" s="3"/>
      <c r="O5" s="3"/>
      <c r="P5" s="3"/>
      <c r="Q5" s="3"/>
      <c r="R5" s="3"/>
    </row>
    <row r="6" customFormat="false" ht="21.75" hidden="false" customHeight="true" outlineLevel="0" collapsed="false">
      <c r="A6" s="5" t="s">
        <v>49</v>
      </c>
      <c r="B6" s="5"/>
      <c r="C6" s="5"/>
      <c r="D6" s="5"/>
      <c r="E6" s="5"/>
      <c r="F6" s="5"/>
      <c r="G6" s="5"/>
      <c r="H6" s="5"/>
      <c r="I6" s="5"/>
      <c r="J6" s="5"/>
      <c r="K6" s="3"/>
      <c r="L6" s="3"/>
      <c r="M6" s="3"/>
      <c r="N6" s="3"/>
      <c r="O6" s="3"/>
      <c r="P6" s="3"/>
      <c r="Q6" s="3"/>
      <c r="R6" s="3"/>
    </row>
    <row r="7" customFormat="false" ht="21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3"/>
      <c r="L7" s="3"/>
      <c r="M7" s="3"/>
      <c r="N7" s="3"/>
      <c r="O7" s="3"/>
      <c r="P7" s="3"/>
      <c r="Q7" s="3"/>
      <c r="R7" s="3"/>
    </row>
    <row r="8" customFormat="false" ht="31.5" hidden="false" customHeight="true" outlineLevel="0" collapsed="false">
      <c r="A8" s="24" t="s">
        <v>50</v>
      </c>
      <c r="B8" s="24" t="s">
        <v>51</v>
      </c>
      <c r="C8" s="24" t="s">
        <v>52</v>
      </c>
      <c r="D8" s="24" t="s">
        <v>53</v>
      </c>
      <c r="E8" s="24" t="s">
        <v>54</v>
      </c>
      <c r="F8" s="24" t="s">
        <v>55</v>
      </c>
      <c r="G8" s="24" t="s">
        <v>56</v>
      </c>
      <c r="H8" s="24" t="s">
        <v>57</v>
      </c>
      <c r="I8" s="3"/>
      <c r="J8" s="3"/>
      <c r="K8" s="3"/>
      <c r="L8" s="3"/>
      <c r="M8" s="3"/>
      <c r="N8" s="3"/>
      <c r="O8" s="3"/>
      <c r="P8" s="3"/>
      <c r="Q8" s="3"/>
      <c r="R8" s="3"/>
    </row>
    <row r="9" customFormat="false" ht="19.5" hidden="false" customHeight="true" outlineLevel="0" collapsed="false">
      <c r="A9" s="20" t="s">
        <v>58</v>
      </c>
      <c r="B9" s="25" t="n">
        <v>30000</v>
      </c>
      <c r="C9" s="26" t="n">
        <v>22</v>
      </c>
      <c r="D9" s="26" t="n">
        <v>8</v>
      </c>
      <c r="E9" s="26" t="n">
        <v>7</v>
      </c>
      <c r="F9" s="27" t="n">
        <v>0.6</v>
      </c>
      <c r="G9" s="28" t="n">
        <v>0.63</v>
      </c>
      <c r="H9" s="25" t="n">
        <v>40243</v>
      </c>
      <c r="I9" s="3"/>
      <c r="J9" s="3"/>
      <c r="K9" s="3"/>
      <c r="L9" s="3"/>
      <c r="M9" s="3"/>
      <c r="N9" s="3"/>
      <c r="O9" s="3"/>
      <c r="P9" s="3"/>
      <c r="Q9" s="3"/>
      <c r="R9" s="3"/>
    </row>
    <row r="10" customFormat="false" ht="19.5" hidden="false" customHeight="true" outlineLevel="0" collapsed="false">
      <c r="A10" s="20" t="s">
        <v>59</v>
      </c>
      <c r="B10" s="25" t="n">
        <v>7000</v>
      </c>
      <c r="C10" s="26" t="n">
        <v>22</v>
      </c>
      <c r="D10" s="26" t="n">
        <v>8</v>
      </c>
      <c r="E10" s="26" t="n">
        <v>6</v>
      </c>
      <c r="F10" s="27" t="n">
        <v>0.7</v>
      </c>
      <c r="G10" s="28" t="n">
        <v>0.17</v>
      </c>
      <c r="H10" s="25" t="n">
        <v>20000</v>
      </c>
      <c r="I10" s="3"/>
      <c r="J10" s="3"/>
      <c r="K10" s="3"/>
      <c r="L10" s="3"/>
      <c r="M10" s="3"/>
      <c r="N10" s="3"/>
      <c r="O10" s="3"/>
      <c r="P10" s="3"/>
      <c r="Q10" s="3"/>
      <c r="R10" s="3"/>
    </row>
    <row r="11" customFormat="false" ht="19.5" hidden="false" customHeight="true" outlineLevel="0" collapsed="false">
      <c r="A11" s="20" t="s">
        <v>60</v>
      </c>
      <c r="B11" s="25" t="n">
        <v>6500</v>
      </c>
      <c r="C11" s="26" t="n">
        <v>22</v>
      </c>
      <c r="D11" s="26" t="n">
        <v>8</v>
      </c>
      <c r="E11" s="26" t="n">
        <v>6</v>
      </c>
      <c r="F11" s="27" t="n">
        <v>0.7</v>
      </c>
      <c r="G11" s="28" t="n">
        <v>0.11</v>
      </c>
      <c r="H11" s="25" t="n">
        <v>4000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customFormat="false" ht="19.5" hidden="false" customHeight="true" outlineLevel="0" collapsed="false">
      <c r="A12" s="20" t="s">
        <v>61</v>
      </c>
      <c r="B12" s="25" t="n">
        <v>5000</v>
      </c>
      <c r="C12" s="26" t="n">
        <v>22</v>
      </c>
      <c r="D12" s="26" t="n">
        <v>8</v>
      </c>
      <c r="E12" s="26" t="n">
        <v>3</v>
      </c>
      <c r="F12" s="27" t="n">
        <v>1</v>
      </c>
      <c r="G12" s="28" t="n">
        <v>0.06</v>
      </c>
      <c r="H12" s="29" t="n">
        <v>0</v>
      </c>
      <c r="I12" s="5" t="s">
        <v>62</v>
      </c>
      <c r="J12" s="5"/>
      <c r="K12" s="3"/>
      <c r="L12" s="3"/>
      <c r="M12" s="3"/>
      <c r="N12" s="3"/>
      <c r="O12" s="3"/>
      <c r="P12" s="3"/>
      <c r="Q12" s="3"/>
      <c r="R12" s="3"/>
    </row>
    <row r="13" customFormat="false" ht="19.5" hidden="false" customHeight="true" outlineLevel="0" collapsed="false">
      <c r="A13" s="20" t="s">
        <v>63</v>
      </c>
      <c r="B13" s="25" t="n">
        <v>2000</v>
      </c>
      <c r="C13" s="26" t="n">
        <v>22</v>
      </c>
      <c r="D13" s="26" t="n">
        <v>8</v>
      </c>
      <c r="E13" s="26" t="n">
        <v>3</v>
      </c>
      <c r="F13" s="27" t="n">
        <v>1</v>
      </c>
      <c r="G13" s="28" t="n">
        <v>0.03</v>
      </c>
      <c r="H13" s="29" t="n">
        <v>0</v>
      </c>
      <c r="I13" s="5" t="s">
        <v>62</v>
      </c>
      <c r="J13" s="5"/>
      <c r="K13" s="3"/>
      <c r="L13" s="3"/>
      <c r="M13" s="3"/>
      <c r="N13" s="3"/>
      <c r="O13" s="3"/>
      <c r="P13" s="3"/>
      <c r="Q13" s="3"/>
      <c r="R13" s="3"/>
    </row>
    <row r="14" customFormat="false" ht="19.5" hidden="false" customHeight="true" outlineLevel="0" collapsed="false">
      <c r="A14" s="30" t="s">
        <v>64</v>
      </c>
      <c r="B14" s="30"/>
      <c r="C14" s="30"/>
      <c r="D14" s="30"/>
      <c r="E14" s="30"/>
      <c r="F14" s="30"/>
      <c r="G14" s="31" t="n">
        <f aca="false">SUM(G9:G13)</f>
        <v>1</v>
      </c>
      <c r="H14" s="5" t="s">
        <v>65</v>
      </c>
      <c r="I14" s="5"/>
      <c r="J14" s="5"/>
      <c r="K14" s="3"/>
      <c r="L14" s="3"/>
      <c r="M14" s="3"/>
      <c r="N14" s="3"/>
      <c r="O14" s="3"/>
      <c r="P14" s="3"/>
      <c r="Q14" s="3"/>
      <c r="R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customFormat="false" ht="24" hidden="false" customHeight="true" outlineLevel="0" collapsed="false">
      <c r="A16" s="17" t="s">
        <v>66</v>
      </c>
      <c r="B16" s="17"/>
      <c r="C16" s="17"/>
      <c r="D16" s="17"/>
      <c r="E16" s="17"/>
      <c r="F16" s="17"/>
      <c r="G16" s="17"/>
      <c r="H16" s="17"/>
      <c r="I16" s="17"/>
      <c r="J16" s="17"/>
      <c r="K16" s="3"/>
      <c r="L16" s="3"/>
      <c r="M16" s="3"/>
      <c r="N16" s="3"/>
      <c r="O16" s="3"/>
      <c r="P16" s="3"/>
      <c r="Q16" s="3"/>
      <c r="R16" s="3"/>
    </row>
    <row r="17" customFormat="false" ht="21.75" hidden="false" customHeight="true" outlineLevel="0" collapsed="false">
      <c r="A17" s="5" t="s">
        <v>67</v>
      </c>
      <c r="B17" s="5"/>
      <c r="C17" s="5"/>
      <c r="D17" s="5"/>
      <c r="E17" s="5"/>
      <c r="F17" s="5"/>
      <c r="G17" s="5"/>
      <c r="H17" s="5"/>
      <c r="I17" s="5"/>
      <c r="J17" s="5"/>
      <c r="K17" s="3"/>
      <c r="L17" s="3"/>
      <c r="M17" s="3"/>
      <c r="N17" s="3"/>
      <c r="O17" s="3"/>
      <c r="P17" s="3"/>
      <c r="Q17" s="3"/>
      <c r="R17" s="3"/>
    </row>
    <row r="18" customFormat="false" ht="21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3"/>
      <c r="L18" s="3"/>
      <c r="M18" s="3"/>
      <c r="N18" s="3"/>
      <c r="O18" s="3"/>
      <c r="P18" s="3"/>
      <c r="Q18" s="3"/>
      <c r="R18" s="3"/>
    </row>
    <row r="19" customFormat="false" ht="27.75" hidden="false" customHeight="true" outlineLevel="0" collapsed="false">
      <c r="A19" s="24" t="s">
        <v>50</v>
      </c>
      <c r="B19" s="24" t="s">
        <v>68</v>
      </c>
      <c r="C19" s="24" t="s">
        <v>69</v>
      </c>
      <c r="D19" s="24" t="s">
        <v>70</v>
      </c>
      <c r="E19" s="24" t="s">
        <v>71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19.5" hidden="false" customHeight="true" outlineLevel="0" collapsed="false">
      <c r="A20" s="20" t="s">
        <v>58</v>
      </c>
      <c r="B20" s="25" t="n">
        <v>5000</v>
      </c>
      <c r="C20" s="26" t="n">
        <v>1</v>
      </c>
      <c r="D20" s="32" t="n">
        <f aca="false">B20/C20</f>
        <v>5000</v>
      </c>
      <c r="E20" s="33" t="s">
        <v>72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customFormat="false" ht="19.5" hidden="false" customHeight="true" outlineLevel="0" collapsed="false">
      <c r="A21" s="20" t="s">
        <v>59</v>
      </c>
      <c r="B21" s="25" t="n">
        <v>5000</v>
      </c>
      <c r="C21" s="26" t="n">
        <v>3</v>
      </c>
      <c r="D21" s="32" t="n">
        <f aca="false">B21/C21</f>
        <v>1666.66666666667</v>
      </c>
      <c r="E21" s="33" t="s">
        <v>73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customFormat="false" ht="19.5" hidden="false" customHeight="true" outlineLevel="0" collapsed="false">
      <c r="A22" s="20" t="s">
        <v>60</v>
      </c>
      <c r="B22" s="25" t="n">
        <v>5000</v>
      </c>
      <c r="C22" s="26" t="n">
        <v>3</v>
      </c>
      <c r="D22" s="32" t="n">
        <f aca="false">B22/C22</f>
        <v>1666.66666666667</v>
      </c>
      <c r="E22" s="33" t="s">
        <v>73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customFormat="false" ht="19.5" hidden="false" customHeight="true" outlineLevel="0" collapsed="false">
      <c r="A23" s="20" t="s">
        <v>61</v>
      </c>
      <c r="B23" s="25" t="n">
        <v>5000</v>
      </c>
      <c r="C23" s="26" t="n">
        <v>3</v>
      </c>
      <c r="D23" s="32" t="n">
        <f aca="false">B23/C23</f>
        <v>1666.66666666667</v>
      </c>
      <c r="E23" s="33" t="s">
        <v>73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customFormat="false" ht="19.5" hidden="false" customHeight="true" outlineLevel="0" collapsed="false">
      <c r="A24" s="20" t="s">
        <v>63</v>
      </c>
      <c r="B24" s="25" t="n">
        <v>5000</v>
      </c>
      <c r="C24" s="26" t="n">
        <v>5</v>
      </c>
      <c r="D24" s="32" t="n">
        <f aca="false">B24/C24</f>
        <v>1000</v>
      </c>
      <c r="E24" s="33" t="s">
        <v>74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customFormat="false" ht="21.75" hidden="false" customHeight="true" outlineLevel="0" collapsed="false">
      <c r="A25" s="34" t="s">
        <v>75</v>
      </c>
      <c r="B25" s="34"/>
      <c r="C25" s="34"/>
      <c r="D25" s="35" t="n">
        <f aca="false">SUM(B20:B24)</f>
        <v>25000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customFormat="false" ht="24" hidden="false" customHeight="true" outlineLevel="0" collapsed="false">
      <c r="A27" s="17" t="s">
        <v>76</v>
      </c>
      <c r="B27" s="17"/>
      <c r="C27" s="17"/>
      <c r="D27" s="17"/>
      <c r="E27" s="17"/>
      <c r="F27" s="17"/>
      <c r="G27" s="17"/>
      <c r="H27" s="17"/>
      <c r="I27" s="17"/>
      <c r="J27" s="17"/>
      <c r="K27" s="3"/>
      <c r="L27" s="3"/>
      <c r="M27" s="3"/>
      <c r="N27" s="3"/>
      <c r="O27" s="3"/>
      <c r="P27" s="3"/>
      <c r="Q27" s="3"/>
      <c r="R27" s="3"/>
    </row>
    <row r="28" customFormat="false" ht="21.75" hidden="false" customHeight="true" outlineLevel="0" collapsed="false">
      <c r="A28" s="5" t="s">
        <v>77</v>
      </c>
      <c r="B28" s="5"/>
      <c r="C28" s="5"/>
      <c r="D28" s="5"/>
      <c r="E28" s="5"/>
      <c r="F28" s="5"/>
      <c r="G28" s="5"/>
      <c r="H28" s="5"/>
      <c r="I28" s="5"/>
      <c r="J28" s="5"/>
      <c r="K28" s="3"/>
      <c r="L28" s="3"/>
      <c r="M28" s="3"/>
      <c r="N28" s="3"/>
      <c r="O28" s="3"/>
      <c r="P28" s="3"/>
      <c r="Q28" s="3"/>
      <c r="R28" s="3"/>
    </row>
    <row r="29" customFormat="false" ht="21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3"/>
      <c r="L29" s="3"/>
      <c r="M29" s="3"/>
      <c r="N29" s="3"/>
      <c r="O29" s="3"/>
      <c r="P29" s="3"/>
      <c r="Q29" s="3"/>
      <c r="R29" s="3"/>
    </row>
    <row r="30" customFormat="false" ht="21.75" hidden="false" customHeight="true" outlineLevel="0" collapsed="false">
      <c r="A30" s="34" t="s">
        <v>78</v>
      </c>
      <c r="B30" s="36" t="s">
        <v>79</v>
      </c>
      <c r="C30" s="36" t="s">
        <v>80</v>
      </c>
      <c r="D30" s="36" t="s">
        <v>81</v>
      </c>
      <c r="E30" s="36" t="s">
        <v>82</v>
      </c>
      <c r="F30" s="36" t="s">
        <v>83</v>
      </c>
      <c r="G30" s="36" t="s">
        <v>84</v>
      </c>
      <c r="H30" s="36" t="s">
        <v>85</v>
      </c>
      <c r="I30" s="3"/>
      <c r="J30" s="3"/>
      <c r="K30" s="3"/>
      <c r="L30" s="3"/>
      <c r="M30" s="3"/>
      <c r="N30" s="3"/>
      <c r="O30" s="3"/>
      <c r="P30" s="3"/>
      <c r="Q30" s="3"/>
      <c r="R30" s="3"/>
    </row>
    <row r="31" customFormat="false" ht="19.5" hidden="false" customHeight="true" outlineLevel="0" collapsed="false">
      <c r="A31" s="20" t="s">
        <v>86</v>
      </c>
      <c r="B31" s="25" t="n">
        <v>9000</v>
      </c>
      <c r="C31" s="25" t="n">
        <v>20000</v>
      </c>
      <c r="D31" s="25" t="n">
        <v>28000</v>
      </c>
      <c r="E31" s="25" t="n">
        <v>35000</v>
      </c>
      <c r="F31" s="25" t="n">
        <v>42000</v>
      </c>
      <c r="G31" s="25" t="n">
        <v>50000</v>
      </c>
      <c r="H31" s="25" t="n">
        <v>58000</v>
      </c>
      <c r="I31" s="3"/>
      <c r="J31" s="3"/>
      <c r="K31" s="3"/>
      <c r="L31" s="3"/>
      <c r="M31" s="3"/>
      <c r="N31" s="3"/>
      <c r="O31" s="3"/>
      <c r="P31" s="3"/>
      <c r="Q31" s="3"/>
      <c r="R31" s="3"/>
    </row>
    <row r="32" customFormat="false" ht="19.5" hidden="false" customHeight="true" outlineLevel="0" collapsed="false">
      <c r="A32" s="20" t="s">
        <v>87</v>
      </c>
      <c r="B32" s="25" t="n">
        <v>1200</v>
      </c>
      <c r="C32" s="25" t="n">
        <v>8500</v>
      </c>
      <c r="D32" s="25" t="n">
        <v>22000</v>
      </c>
      <c r="E32" s="25" t="n">
        <v>40000</v>
      </c>
      <c r="F32" s="25" t="n">
        <v>98100</v>
      </c>
      <c r="G32" s="25" t="n">
        <v>141900</v>
      </c>
      <c r="H32" s="25" t="n">
        <v>183400</v>
      </c>
      <c r="I32" s="3"/>
      <c r="J32" s="3"/>
      <c r="K32" s="3"/>
      <c r="L32" s="3"/>
      <c r="M32" s="3"/>
      <c r="N32" s="3"/>
      <c r="O32" s="3"/>
      <c r="P32" s="3"/>
      <c r="Q32" s="3"/>
      <c r="R32" s="3"/>
    </row>
    <row r="33" customFormat="false" ht="19.5" hidden="false" customHeight="true" outlineLevel="0" collapsed="false">
      <c r="A33" s="20" t="s">
        <v>88</v>
      </c>
      <c r="B33" s="25" t="n">
        <v>4282</v>
      </c>
      <c r="C33" s="25" t="n">
        <v>11483</v>
      </c>
      <c r="D33" s="25" t="n">
        <v>22800</v>
      </c>
      <c r="E33" s="25" t="n">
        <v>39600</v>
      </c>
      <c r="F33" s="25" t="n">
        <v>55483</v>
      </c>
      <c r="G33" s="25" t="n">
        <v>70100</v>
      </c>
      <c r="H33" s="25" t="n">
        <v>88133</v>
      </c>
      <c r="I33" s="3"/>
      <c r="J33" s="3"/>
      <c r="K33" s="3"/>
      <c r="L33" s="3"/>
      <c r="M33" s="3"/>
      <c r="N33" s="3"/>
      <c r="O33" s="3"/>
      <c r="P33" s="3"/>
      <c r="Q33" s="3"/>
      <c r="R33" s="3"/>
    </row>
    <row r="34" customFormat="false" ht="21.75" hidden="false" customHeight="true" outlineLevel="0" collapsed="false">
      <c r="A34" s="34" t="s">
        <v>75</v>
      </c>
      <c r="B34" s="37" t="n">
        <f aca="false">SUM(B31:B33)</f>
        <v>14482</v>
      </c>
      <c r="C34" s="37" t="n">
        <f aca="false">SUM(C31:C33)</f>
        <v>39983</v>
      </c>
      <c r="D34" s="37" t="n">
        <f aca="false">SUM(D31:D33)</f>
        <v>72800</v>
      </c>
      <c r="E34" s="37" t="n">
        <f aca="false">SUM(E31:E33)</f>
        <v>114600</v>
      </c>
      <c r="F34" s="37" t="n">
        <f aca="false">SUM(F31:F33)</f>
        <v>195583</v>
      </c>
      <c r="G34" s="37" t="n">
        <f aca="false">SUM(G31:G33)</f>
        <v>262000</v>
      </c>
      <c r="H34" s="37" t="n">
        <f aca="false">SUM(H31:H33)</f>
        <v>329533</v>
      </c>
      <c r="I34" s="3"/>
      <c r="J34" s="3"/>
      <c r="K34" s="3"/>
      <c r="L34" s="3"/>
      <c r="M34" s="3"/>
      <c r="N34" s="3"/>
      <c r="O34" s="3"/>
      <c r="P34" s="3"/>
      <c r="Q34" s="3"/>
      <c r="R34" s="3"/>
    </row>
    <row r="35" customFormat="false" ht="19.5" hidden="false" customHeight="true" outlineLevel="0" collapsed="false">
      <c r="A35" s="19" t="s">
        <v>89</v>
      </c>
      <c r="B35" s="19"/>
      <c r="C35" s="19"/>
      <c r="D35" s="28" t="n">
        <v>0.65</v>
      </c>
      <c r="E35" s="5" t="s">
        <v>90</v>
      </c>
      <c r="F35" s="5"/>
      <c r="G35" s="5"/>
      <c r="H35" s="5"/>
      <c r="I35" s="5"/>
      <c r="J35" s="5"/>
      <c r="K35" s="3"/>
      <c r="L35" s="3"/>
      <c r="M35" s="3"/>
      <c r="N35" s="3"/>
      <c r="O35" s="3"/>
      <c r="P35" s="3"/>
      <c r="Q35" s="3"/>
      <c r="R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24" hidden="false" customHeight="true" outlineLevel="0" collapsed="false">
      <c r="A37" s="17" t="s">
        <v>91</v>
      </c>
      <c r="B37" s="17"/>
      <c r="C37" s="17"/>
      <c r="D37" s="17"/>
      <c r="E37" s="17"/>
      <c r="F37" s="17"/>
      <c r="G37" s="17"/>
      <c r="H37" s="17"/>
      <c r="I37" s="17"/>
      <c r="J37" s="17"/>
      <c r="K37" s="3"/>
      <c r="L37" s="3"/>
      <c r="M37" s="3"/>
      <c r="N37" s="3"/>
      <c r="O37" s="3"/>
      <c r="P37" s="3"/>
      <c r="Q37" s="3"/>
      <c r="R37" s="3"/>
    </row>
    <row r="38" customFormat="false" ht="21.75" hidden="false" customHeight="true" outlineLevel="0" collapsed="false">
      <c r="A38" s="5" t="s">
        <v>92</v>
      </c>
      <c r="B38" s="5"/>
      <c r="C38" s="5"/>
      <c r="D38" s="5"/>
      <c r="E38" s="5"/>
      <c r="F38" s="5"/>
      <c r="G38" s="5"/>
      <c r="H38" s="5"/>
      <c r="I38" s="5"/>
      <c r="J38" s="5"/>
      <c r="K38" s="3"/>
      <c r="L38" s="3"/>
      <c r="M38" s="3"/>
      <c r="N38" s="3"/>
      <c r="O38" s="3"/>
      <c r="P38" s="3"/>
      <c r="Q38" s="3"/>
      <c r="R38" s="3"/>
    </row>
    <row r="39" customFormat="false" ht="21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3"/>
      <c r="L39" s="3"/>
      <c r="M39" s="3"/>
      <c r="N39" s="3"/>
      <c r="O39" s="3"/>
      <c r="P39" s="3"/>
      <c r="Q39" s="3"/>
      <c r="R39" s="3"/>
    </row>
    <row r="40" customFormat="false" ht="21.75" hidden="false" customHeight="true" outlineLevel="0" collapsed="false">
      <c r="A40" s="34" t="s">
        <v>50</v>
      </c>
      <c r="B40" s="36" t="s">
        <v>79</v>
      </c>
      <c r="C40" s="36" t="s">
        <v>80</v>
      </c>
      <c r="D40" s="36" t="s">
        <v>81</v>
      </c>
      <c r="E40" s="36" t="s">
        <v>82</v>
      </c>
      <c r="F40" s="36" t="s">
        <v>83</v>
      </c>
      <c r="G40" s="36" t="s">
        <v>84</v>
      </c>
      <c r="H40" s="36" t="s">
        <v>85</v>
      </c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19.5" hidden="false" customHeight="true" outlineLevel="0" collapsed="false">
      <c r="A41" s="20" t="s">
        <v>58</v>
      </c>
      <c r="B41" s="38" t="s">
        <v>93</v>
      </c>
      <c r="C41" s="25" t="n">
        <v>2000</v>
      </c>
      <c r="D41" s="25" t="n">
        <v>5000</v>
      </c>
      <c r="E41" s="25" t="n">
        <v>9000</v>
      </c>
      <c r="F41" s="25" t="n">
        <v>14000</v>
      </c>
      <c r="G41" s="25" t="n">
        <v>20000</v>
      </c>
      <c r="H41" s="25" t="n">
        <v>30000</v>
      </c>
      <c r="I41" s="3"/>
      <c r="J41" s="3"/>
      <c r="K41" s="3"/>
      <c r="L41" s="3"/>
      <c r="M41" s="3"/>
      <c r="N41" s="3"/>
      <c r="O41" s="3"/>
      <c r="P41" s="3"/>
      <c r="Q41" s="3"/>
      <c r="R41" s="3"/>
    </row>
    <row r="42" customFormat="false" ht="19.5" hidden="false" customHeight="true" outlineLevel="0" collapsed="false">
      <c r="A42" s="20" t="s">
        <v>59</v>
      </c>
      <c r="B42" s="38" t="s">
        <v>93</v>
      </c>
      <c r="C42" s="25" t="n">
        <v>1000</v>
      </c>
      <c r="D42" s="25" t="n">
        <v>2500</v>
      </c>
      <c r="E42" s="25" t="n">
        <v>4000</v>
      </c>
      <c r="F42" s="25" t="n">
        <v>7500</v>
      </c>
      <c r="G42" s="25" t="n">
        <v>9000</v>
      </c>
      <c r="H42" s="25" t="n">
        <v>10000</v>
      </c>
      <c r="I42" s="3"/>
      <c r="J42" s="3"/>
      <c r="K42" s="3"/>
      <c r="L42" s="3"/>
      <c r="M42" s="3"/>
      <c r="N42" s="3"/>
      <c r="O42" s="3"/>
      <c r="P42" s="3"/>
      <c r="Q42" s="3"/>
      <c r="R42" s="3"/>
    </row>
    <row r="43" customFormat="false" ht="19.5" hidden="false" customHeight="true" outlineLevel="0" collapsed="false">
      <c r="A43" s="20" t="s">
        <v>60</v>
      </c>
      <c r="B43" s="38" t="s">
        <v>93</v>
      </c>
      <c r="C43" s="25" t="n">
        <v>1000</v>
      </c>
      <c r="D43" s="25" t="n">
        <v>2500</v>
      </c>
      <c r="E43" s="25" t="n">
        <v>4000</v>
      </c>
      <c r="F43" s="25" t="n">
        <v>7000</v>
      </c>
      <c r="G43" s="25" t="n">
        <v>8500</v>
      </c>
      <c r="H43" s="25" t="n">
        <v>10000</v>
      </c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19.5" hidden="false" customHeight="true" outlineLevel="0" collapsed="false">
      <c r="A44" s="20" t="s">
        <v>61</v>
      </c>
      <c r="B44" s="25" t="n">
        <v>5000</v>
      </c>
      <c r="C44" s="25" t="n">
        <v>6000</v>
      </c>
      <c r="D44" s="25" t="n">
        <v>7000</v>
      </c>
      <c r="E44" s="25" t="n">
        <v>8000</v>
      </c>
      <c r="F44" s="25" t="n">
        <v>9000</v>
      </c>
      <c r="G44" s="25" t="n">
        <v>10000</v>
      </c>
      <c r="H44" s="25" t="n">
        <v>10000</v>
      </c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19.5" hidden="false" customHeight="true" outlineLevel="0" collapsed="false">
      <c r="A45" s="20" t="s">
        <v>63</v>
      </c>
      <c r="B45" s="25" t="n">
        <v>2000</v>
      </c>
      <c r="C45" s="25" t="n">
        <v>4000</v>
      </c>
      <c r="D45" s="25" t="n">
        <v>5000</v>
      </c>
      <c r="E45" s="25" t="n">
        <v>6000</v>
      </c>
      <c r="F45" s="25" t="n">
        <v>6000</v>
      </c>
      <c r="G45" s="25" t="n">
        <v>6000</v>
      </c>
      <c r="H45" s="25" t="n">
        <v>6000</v>
      </c>
      <c r="I45" s="3"/>
      <c r="J45" s="3"/>
      <c r="K45" s="3"/>
      <c r="L45" s="3"/>
      <c r="M45" s="3"/>
      <c r="N45" s="3"/>
      <c r="O45" s="3"/>
      <c r="P45" s="3"/>
      <c r="Q45" s="3"/>
      <c r="R45" s="3"/>
    </row>
    <row r="46" customFormat="false" ht="21.75" hidden="false" customHeight="true" outlineLevel="0" collapsed="false">
      <c r="A46" s="34" t="s">
        <v>94</v>
      </c>
      <c r="B46" s="37" t="n">
        <f aca="false">SUM(B41:B45)</f>
        <v>7000</v>
      </c>
      <c r="C46" s="37" t="n">
        <f aca="false">SUM(C41:C45)</f>
        <v>14000</v>
      </c>
      <c r="D46" s="37" t="n">
        <f aca="false">SUM(D41:D45)</f>
        <v>22000</v>
      </c>
      <c r="E46" s="37" t="n">
        <f aca="false">SUM(E41:E45)</f>
        <v>31000</v>
      </c>
      <c r="F46" s="37" t="n">
        <f aca="false">SUM(F41:F45)</f>
        <v>43500</v>
      </c>
      <c r="G46" s="37" t="n">
        <f aca="false">SUM(G41:G45)</f>
        <v>53500</v>
      </c>
      <c r="H46" s="37" t="n">
        <f aca="false">SUM(H41:H45)</f>
        <v>66000</v>
      </c>
      <c r="I46" s="3"/>
      <c r="J46" s="3"/>
      <c r="K46" s="3"/>
      <c r="L46" s="3"/>
      <c r="M46" s="3"/>
      <c r="N46" s="3"/>
      <c r="O46" s="3"/>
      <c r="P46" s="3"/>
      <c r="Q46" s="3"/>
      <c r="R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customFormat="false" ht="24" hidden="false" customHeight="true" outlineLevel="0" collapsed="false">
      <c r="A48" s="17" t="s">
        <v>95</v>
      </c>
      <c r="B48" s="17"/>
      <c r="C48" s="17"/>
      <c r="D48" s="17"/>
      <c r="E48" s="17"/>
      <c r="F48" s="17"/>
      <c r="G48" s="17"/>
      <c r="H48" s="17"/>
      <c r="I48" s="17"/>
      <c r="J48" s="17"/>
      <c r="K48" s="3"/>
      <c r="L48" s="3"/>
      <c r="M48" s="3"/>
      <c r="N48" s="3"/>
      <c r="O48" s="3"/>
      <c r="P48" s="3"/>
      <c r="Q48" s="3"/>
      <c r="R48" s="3"/>
    </row>
    <row r="49" customFormat="false" ht="19.5" hidden="false" customHeight="true" outlineLevel="0" collapsed="false">
      <c r="A49" s="5" t="s">
        <v>96</v>
      </c>
      <c r="B49" s="5"/>
      <c r="C49" s="5"/>
      <c r="D49" s="5"/>
      <c r="E49" s="5"/>
      <c r="F49" s="5"/>
      <c r="G49" s="5"/>
      <c r="H49" s="5"/>
      <c r="I49" s="5"/>
      <c r="J49" s="5"/>
      <c r="K49" s="3"/>
      <c r="L49" s="3"/>
      <c r="M49" s="3"/>
      <c r="N49" s="3"/>
      <c r="O49" s="3"/>
      <c r="P49" s="3"/>
      <c r="Q49" s="3"/>
      <c r="R49" s="3"/>
    </row>
    <row r="50" customFormat="false" ht="19.5" hidden="false" customHeight="true" outlineLevel="0" collapsed="false">
      <c r="A50" s="20" t="s">
        <v>97</v>
      </c>
      <c r="B50" s="20"/>
      <c r="C50" s="20"/>
      <c r="D50" s="25" t="n">
        <v>3000</v>
      </c>
      <c r="E50" s="5" t="s">
        <v>98</v>
      </c>
      <c r="F50" s="5"/>
      <c r="G50" s="5"/>
      <c r="H50" s="5"/>
      <c r="I50" s="5"/>
      <c r="J50" s="5"/>
      <c r="K50" s="3"/>
      <c r="L50" s="3"/>
      <c r="M50" s="3"/>
      <c r="N50" s="3"/>
      <c r="O50" s="3"/>
      <c r="P50" s="3"/>
      <c r="Q50" s="3"/>
      <c r="R50" s="3"/>
    </row>
    <row r="51" customFormat="false" ht="19.5" hidden="false" customHeight="true" outlineLevel="0" collapsed="false">
      <c r="A51" s="20" t="s">
        <v>99</v>
      </c>
      <c r="B51" s="20"/>
      <c r="C51" s="20"/>
      <c r="D51" s="26" t="n">
        <v>22</v>
      </c>
      <c r="E51" s="5" t="s">
        <v>100</v>
      </c>
      <c r="F51" s="5"/>
      <c r="G51" s="5"/>
      <c r="H51" s="5"/>
      <c r="I51" s="5"/>
      <c r="J51" s="5"/>
      <c r="K51" s="3"/>
      <c r="L51" s="3"/>
      <c r="M51" s="3"/>
      <c r="N51" s="3"/>
      <c r="O51" s="3"/>
      <c r="P51" s="3"/>
      <c r="Q51" s="3"/>
      <c r="R51" s="3"/>
    </row>
    <row r="52" customFormat="false" ht="19.5" hidden="false" customHeight="true" outlineLevel="0" collapsed="false">
      <c r="A52" s="20" t="s">
        <v>101</v>
      </c>
      <c r="B52" s="20"/>
      <c r="C52" s="20"/>
      <c r="D52" s="39" t="n">
        <v>4.3</v>
      </c>
      <c r="E52" s="5" t="s">
        <v>102</v>
      </c>
      <c r="F52" s="5"/>
      <c r="G52" s="5"/>
      <c r="H52" s="5"/>
      <c r="I52" s="5"/>
      <c r="J52" s="5"/>
      <c r="K52" s="3"/>
      <c r="L52" s="3"/>
      <c r="M52" s="3"/>
      <c r="N52" s="3"/>
      <c r="O52" s="3"/>
      <c r="P52" s="3"/>
      <c r="Q52" s="3"/>
      <c r="R52" s="3"/>
    </row>
    <row r="53" customFormat="false" ht="19.5" hidden="false" customHeight="true" outlineLevel="0" collapsed="false">
      <c r="A53" s="20" t="s">
        <v>103</v>
      </c>
      <c r="B53" s="20"/>
      <c r="C53" s="20"/>
      <c r="D53" s="26" t="n">
        <v>36</v>
      </c>
      <c r="E53" s="5" t="s">
        <v>104</v>
      </c>
      <c r="F53" s="5"/>
      <c r="G53" s="5"/>
      <c r="H53" s="5"/>
      <c r="I53" s="5"/>
      <c r="J53" s="5"/>
      <c r="K53" s="3"/>
      <c r="L53" s="3"/>
      <c r="M53" s="3"/>
      <c r="N53" s="3"/>
      <c r="O53" s="3"/>
      <c r="P53" s="3"/>
      <c r="Q53" s="3"/>
      <c r="R53" s="3"/>
    </row>
    <row r="54" customFormat="false" ht="19.5" hidden="false" customHeight="true" outlineLevel="0" collapsed="false">
      <c r="A54" s="20" t="s">
        <v>105</v>
      </c>
      <c r="B54" s="20"/>
      <c r="C54" s="20"/>
      <c r="D54" s="26" t="n">
        <v>12</v>
      </c>
      <c r="E54" s="5" t="s">
        <v>106</v>
      </c>
      <c r="F54" s="5"/>
      <c r="G54" s="5"/>
      <c r="H54" s="5"/>
      <c r="I54" s="5"/>
      <c r="J54" s="5"/>
      <c r="K54" s="3"/>
      <c r="L54" s="3"/>
      <c r="M54" s="3"/>
      <c r="N54" s="3"/>
      <c r="O54" s="3"/>
      <c r="P54" s="3"/>
      <c r="Q54" s="3"/>
      <c r="R54" s="3"/>
    </row>
    <row r="55" customFormat="false" ht="19.5" hidden="false" customHeight="true" outlineLevel="0" collapsed="false">
      <c r="A55" s="20" t="s">
        <v>107</v>
      </c>
      <c r="B55" s="20"/>
      <c r="C55" s="20"/>
      <c r="D55" s="40" t="n">
        <v>0.333</v>
      </c>
      <c r="E55" s="5" t="s">
        <v>108</v>
      </c>
      <c r="F55" s="5"/>
      <c r="G55" s="5"/>
      <c r="H55" s="5"/>
      <c r="I55" s="5"/>
      <c r="J55" s="5"/>
      <c r="K55" s="3"/>
      <c r="L55" s="3"/>
      <c r="M55" s="3"/>
      <c r="N55" s="3"/>
      <c r="O55" s="3"/>
      <c r="P55" s="3"/>
      <c r="Q55" s="3"/>
      <c r="R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</sheetData>
  <mergeCells count="31">
    <mergeCell ref="A1:J1"/>
    <mergeCell ref="A2:J3"/>
    <mergeCell ref="A5:J5"/>
    <mergeCell ref="A6:J7"/>
    <mergeCell ref="I12:J12"/>
    <mergeCell ref="I13:J13"/>
    <mergeCell ref="A14:F14"/>
    <mergeCell ref="H14:J14"/>
    <mergeCell ref="A16:J16"/>
    <mergeCell ref="A17:J18"/>
    <mergeCell ref="A25:C25"/>
    <mergeCell ref="A27:J27"/>
    <mergeCell ref="A28:J29"/>
    <mergeCell ref="A35:C35"/>
    <mergeCell ref="E35:J35"/>
    <mergeCell ref="A37:J37"/>
    <mergeCell ref="A38:J39"/>
    <mergeCell ref="A48:J48"/>
    <mergeCell ref="A49:J49"/>
    <mergeCell ref="A50:C50"/>
    <mergeCell ref="E50:J50"/>
    <mergeCell ref="A51:C51"/>
    <mergeCell ref="E51:J51"/>
    <mergeCell ref="A52:C52"/>
    <mergeCell ref="E52:J52"/>
    <mergeCell ref="A53:C53"/>
    <mergeCell ref="E53:J53"/>
    <mergeCell ref="A54:C54"/>
    <mergeCell ref="E54:J54"/>
    <mergeCell ref="A55:C55"/>
    <mergeCell ref="E55:J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22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3"/>
  </cols>
  <sheetData>
    <row r="1" customFormat="false" ht="31.5" hidden="false" customHeight="true" outlineLevel="0" collapsed="false">
      <c r="A1" s="23" t="s">
        <v>109</v>
      </c>
      <c r="B1" s="23"/>
      <c r="C1" s="23"/>
      <c r="D1" s="23"/>
      <c r="E1" s="23"/>
      <c r="F1" s="23"/>
      <c r="G1" s="23"/>
      <c r="H1" s="23"/>
      <c r="I1" s="23"/>
      <c r="J1" s="3"/>
      <c r="K1" s="3"/>
      <c r="L1" s="3"/>
      <c r="M1" s="3"/>
      <c r="N1" s="3"/>
      <c r="O1" s="3"/>
      <c r="P1" s="3"/>
      <c r="Q1" s="3"/>
      <c r="R1" s="3"/>
    </row>
    <row r="2" customFormat="false" ht="21.75" hidden="false" customHeight="true" outlineLevel="0" collapsed="false">
      <c r="A2" s="5" t="s">
        <v>110</v>
      </c>
      <c r="B2" s="5"/>
      <c r="C2" s="5"/>
      <c r="D2" s="5"/>
      <c r="E2" s="5"/>
      <c r="F2" s="5"/>
      <c r="G2" s="5"/>
      <c r="H2" s="5"/>
      <c r="I2" s="5"/>
      <c r="J2" s="3"/>
      <c r="K2" s="3"/>
      <c r="L2" s="3"/>
      <c r="M2" s="3"/>
      <c r="N2" s="3"/>
      <c r="O2" s="3"/>
      <c r="P2" s="3"/>
      <c r="Q2" s="3"/>
      <c r="R2" s="3"/>
    </row>
    <row r="3" customFormat="false" ht="21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</row>
    <row r="4" customFormat="false" ht="21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3"/>
      <c r="K4" s="3"/>
      <c r="L4" s="3"/>
      <c r="M4" s="3"/>
      <c r="N4" s="3"/>
      <c r="O4" s="3"/>
      <c r="P4" s="3"/>
      <c r="Q4" s="3"/>
      <c r="R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34.5" hidden="false" customHeight="true" outlineLevel="0" collapsed="false">
      <c r="A6" s="24" t="s">
        <v>50</v>
      </c>
      <c r="B6" s="24" t="s">
        <v>51</v>
      </c>
      <c r="C6" s="24" t="s">
        <v>111</v>
      </c>
      <c r="D6" s="24" t="s">
        <v>112</v>
      </c>
      <c r="E6" s="24" t="s">
        <v>54</v>
      </c>
      <c r="F6" s="24" t="s">
        <v>113</v>
      </c>
      <c r="G6" s="24" t="s">
        <v>114</v>
      </c>
      <c r="H6" s="24" t="s">
        <v>115</v>
      </c>
      <c r="I6" s="24" t="s">
        <v>116</v>
      </c>
      <c r="J6" s="3"/>
      <c r="K6" s="3"/>
      <c r="L6" s="3"/>
      <c r="M6" s="3"/>
      <c r="N6" s="3"/>
      <c r="O6" s="3"/>
      <c r="P6" s="3"/>
      <c r="Q6" s="3"/>
      <c r="R6" s="3"/>
    </row>
    <row r="7" customFormat="false" ht="21.75" hidden="false" customHeight="true" outlineLevel="0" collapsed="false">
      <c r="A7" s="20" t="s">
        <v>58</v>
      </c>
      <c r="B7" s="41" t="n">
        <f aca="false">'⚙️ Supuestos'!B9</f>
        <v>30000</v>
      </c>
      <c r="C7" s="42" t="str">
        <f aca="false">B7&amp;" ÷ (22×8)"</f>
        <v>30000 ÷ (22×8)</v>
      </c>
      <c r="D7" s="43" t="n">
        <f aca="false">'⚙️ Supuestos'!B9/('⚙️ Supuestos'!C9*'⚙️ Supuestos'!D9)</f>
        <v>170.454545454545</v>
      </c>
      <c r="E7" s="44" t="n">
        <f aca="false">'⚙️ Supuestos'!E9</f>
        <v>7</v>
      </c>
      <c r="F7" s="33" t="s">
        <v>117</v>
      </c>
      <c r="G7" s="45" t="n">
        <f aca="false">'⚙️ Supuestos'!E9*6*'⚙️ Supuestos'!D52</f>
        <v>180.6</v>
      </c>
      <c r="H7" s="46" t="n">
        <f aca="false">D7*G7</f>
        <v>30784.0909090909</v>
      </c>
      <c r="I7" s="47" t="n">
        <f aca="false">H7/SUM(H7:H11)</f>
        <v>0.673076923076923</v>
      </c>
      <c r="J7" s="3"/>
      <c r="K7" s="3"/>
      <c r="L7" s="3"/>
      <c r="M7" s="3"/>
      <c r="N7" s="3"/>
      <c r="O7" s="3"/>
      <c r="P7" s="3"/>
      <c r="Q7" s="3"/>
      <c r="R7" s="3"/>
    </row>
    <row r="8" customFormat="false" ht="21.75" hidden="false" customHeight="true" outlineLevel="0" collapsed="false">
      <c r="A8" s="20" t="s">
        <v>59</v>
      </c>
      <c r="B8" s="41" t="n">
        <f aca="false">'⚙️ Supuestos'!B10</f>
        <v>7000</v>
      </c>
      <c r="C8" s="42" t="str">
        <f aca="false">B8&amp;" ÷ (22×8)"</f>
        <v>7000 ÷ (22×8)</v>
      </c>
      <c r="D8" s="43" t="n">
        <f aca="false">'⚙️ Supuestos'!B10/('⚙️ Supuestos'!C10*'⚙️ Supuestos'!D10)</f>
        <v>39.7727272727273</v>
      </c>
      <c r="E8" s="44" t="n">
        <f aca="false">'⚙️ Supuestos'!E10</f>
        <v>6</v>
      </c>
      <c r="F8" s="33" t="s">
        <v>117</v>
      </c>
      <c r="G8" s="45" t="n">
        <f aca="false">'⚙️ Supuestos'!E10*6*'⚙️ Supuestos'!D52</f>
        <v>154.8</v>
      </c>
      <c r="H8" s="46" t="n">
        <f aca="false">D8*G8</f>
        <v>6156.81818181818</v>
      </c>
      <c r="I8" s="48" t="n">
        <f aca="false">H8/SUM(H7:H11)</f>
        <v>0.134615384615385</v>
      </c>
      <c r="J8" s="3"/>
      <c r="K8" s="3"/>
      <c r="L8" s="3"/>
      <c r="M8" s="3"/>
      <c r="N8" s="3"/>
      <c r="O8" s="3"/>
      <c r="P8" s="3"/>
      <c r="Q8" s="3"/>
      <c r="R8" s="3"/>
    </row>
    <row r="9" customFormat="false" ht="21.75" hidden="false" customHeight="true" outlineLevel="0" collapsed="false">
      <c r="A9" s="20" t="s">
        <v>60</v>
      </c>
      <c r="B9" s="41" t="n">
        <f aca="false">'⚙️ Supuestos'!B11</f>
        <v>6500</v>
      </c>
      <c r="C9" s="42" t="str">
        <f aca="false">B9&amp;" ÷ (22×8)"</f>
        <v>6500 ÷ (22×8)</v>
      </c>
      <c r="D9" s="43" t="n">
        <f aca="false">'⚙️ Supuestos'!B11/('⚙️ Supuestos'!C11*'⚙️ Supuestos'!D11)</f>
        <v>36.9318181818182</v>
      </c>
      <c r="E9" s="44" t="n">
        <f aca="false">'⚙️ Supuestos'!E11</f>
        <v>6</v>
      </c>
      <c r="F9" s="33" t="s">
        <v>117</v>
      </c>
      <c r="G9" s="45" t="n">
        <f aca="false">'⚙️ Supuestos'!E11*6*'⚙️ Supuestos'!D52</f>
        <v>154.8</v>
      </c>
      <c r="H9" s="46" t="n">
        <f aca="false">D9*G9</f>
        <v>5717.04545454545</v>
      </c>
      <c r="I9" s="47" t="n">
        <f aca="false">H9/SUM(H7:H11)</f>
        <v>0.125</v>
      </c>
      <c r="J9" s="3"/>
      <c r="K9" s="3"/>
      <c r="L9" s="3"/>
      <c r="M9" s="3"/>
      <c r="N9" s="3"/>
      <c r="O9" s="3"/>
      <c r="P9" s="3"/>
      <c r="Q9" s="3"/>
      <c r="R9" s="3"/>
    </row>
    <row r="10" customFormat="false" ht="21.75" hidden="false" customHeight="true" outlineLevel="0" collapsed="false">
      <c r="A10" s="20" t="s">
        <v>61</v>
      </c>
      <c r="B10" s="41" t="n">
        <f aca="false">'⚙️ Supuestos'!B12</f>
        <v>5000</v>
      </c>
      <c r="C10" s="42" t="str">
        <f aca="false">B10&amp;" ÷ (22×8)"</f>
        <v>5000 ÷ (22×8)</v>
      </c>
      <c r="D10" s="43" t="n">
        <f aca="false">'⚙️ Supuestos'!B12/('⚙️ Supuestos'!C12*'⚙️ Supuestos'!D12)</f>
        <v>28.4090909090909</v>
      </c>
      <c r="E10" s="44" t="n">
        <f aca="false">'⚙️ Supuestos'!E12</f>
        <v>3</v>
      </c>
      <c r="F10" s="33" t="s">
        <v>118</v>
      </c>
      <c r="G10" s="45" t="n">
        <f aca="false">'⚙️ Supuestos'!E12*6*'⚙️ Supuestos'!D52</f>
        <v>77.4</v>
      </c>
      <c r="H10" s="46" t="n">
        <f aca="false">D10*G10</f>
        <v>2198.86363636364</v>
      </c>
      <c r="I10" s="48" t="n">
        <f aca="false">H10/SUM(H7:H11)</f>
        <v>0.0480769230769231</v>
      </c>
      <c r="J10" s="3"/>
      <c r="K10" s="3"/>
      <c r="L10" s="3"/>
      <c r="M10" s="3"/>
      <c r="N10" s="3"/>
      <c r="O10" s="3"/>
      <c r="P10" s="3"/>
      <c r="Q10" s="3"/>
      <c r="R10" s="3"/>
    </row>
    <row r="11" customFormat="false" ht="21.75" hidden="false" customHeight="true" outlineLevel="0" collapsed="false">
      <c r="A11" s="20" t="s">
        <v>63</v>
      </c>
      <c r="B11" s="41" t="n">
        <f aca="false">'⚙️ Supuestos'!B13</f>
        <v>2000</v>
      </c>
      <c r="C11" s="42" t="str">
        <f aca="false">B11&amp;" ÷ (22×8)"</f>
        <v>2000 ÷ (22×8)</v>
      </c>
      <c r="D11" s="43" t="n">
        <f aca="false">'⚙️ Supuestos'!B13/('⚙️ Supuestos'!C13*'⚙️ Supuestos'!D13)</f>
        <v>11.3636363636364</v>
      </c>
      <c r="E11" s="44" t="n">
        <f aca="false">'⚙️ Supuestos'!E13</f>
        <v>3</v>
      </c>
      <c r="F11" s="33" t="s">
        <v>118</v>
      </c>
      <c r="G11" s="45" t="n">
        <f aca="false">'⚙️ Supuestos'!E13*6*'⚙️ Supuestos'!D52</f>
        <v>77.4</v>
      </c>
      <c r="H11" s="46" t="n">
        <f aca="false">D11*G11</f>
        <v>879.545454545454</v>
      </c>
      <c r="I11" s="47" t="n">
        <f aca="false">H11/SUM(H7:H11)</f>
        <v>0.0192307692307692</v>
      </c>
      <c r="J11" s="3"/>
      <c r="K11" s="3"/>
      <c r="L11" s="3"/>
      <c r="M11" s="3"/>
      <c r="N11" s="3"/>
      <c r="O11" s="3"/>
      <c r="P11" s="3"/>
      <c r="Q11" s="3"/>
      <c r="R11" s="3"/>
    </row>
    <row r="12" customFormat="false" ht="15" hidden="false" customHeight="true" outlineLevel="0" collapsed="false">
      <c r="A12" s="36" t="s">
        <v>119</v>
      </c>
      <c r="B12" s="36"/>
      <c r="C12" s="36"/>
      <c r="D12" s="36"/>
      <c r="E12" s="36"/>
      <c r="F12" s="36"/>
      <c r="G12" s="36"/>
      <c r="H12" s="49" t="n">
        <f aca="false">SUM(H7:H11)</f>
        <v>45736.3636363636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customFormat="false" ht="24.75" hidden="false" customHeight="true" outlineLevel="0" collapsed="false">
      <c r="A14" s="5" t="s">
        <v>120</v>
      </c>
      <c r="B14" s="5"/>
      <c r="C14" s="5"/>
      <c r="D14" s="5"/>
      <c r="E14" s="5"/>
      <c r="F14" s="5"/>
      <c r="G14" s="5"/>
      <c r="H14" s="5"/>
      <c r="I14" s="5"/>
      <c r="J14" s="3"/>
      <c r="K14" s="3"/>
      <c r="L14" s="3"/>
      <c r="M14" s="3"/>
      <c r="N14" s="3"/>
      <c r="O14" s="3"/>
      <c r="P14" s="3"/>
      <c r="Q14" s="3"/>
      <c r="R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</sheetData>
  <mergeCells count="4">
    <mergeCell ref="A1:I1"/>
    <mergeCell ref="A2:I4"/>
    <mergeCell ref="A12:G12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2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9" min="8" style="1" width="14"/>
  </cols>
  <sheetData>
    <row r="1" customFormat="false" ht="31.5" hidden="false" customHeight="true" outlineLevel="0" collapsed="false">
      <c r="A1" s="23" t="s">
        <v>121</v>
      </c>
      <c r="B1" s="23"/>
      <c r="C1" s="23"/>
      <c r="D1" s="23"/>
      <c r="E1" s="23"/>
      <c r="F1" s="23"/>
      <c r="G1" s="23"/>
      <c r="H1" s="23"/>
      <c r="I1" s="23"/>
      <c r="J1" s="3"/>
      <c r="K1" s="3"/>
      <c r="L1" s="3"/>
      <c r="M1" s="3"/>
      <c r="N1" s="3"/>
      <c r="O1" s="3"/>
      <c r="P1" s="3"/>
      <c r="Q1" s="3"/>
      <c r="R1" s="3"/>
    </row>
    <row r="2" customFormat="false" ht="21.75" hidden="false" customHeight="true" outlineLevel="0" collapsed="false">
      <c r="A2" s="5" t="s">
        <v>122</v>
      </c>
      <c r="B2" s="5"/>
      <c r="C2" s="5"/>
      <c r="D2" s="5"/>
      <c r="E2" s="5"/>
      <c r="F2" s="5"/>
      <c r="G2" s="5"/>
      <c r="H2" s="5"/>
      <c r="I2" s="5"/>
      <c r="J2" s="3"/>
      <c r="K2" s="3"/>
      <c r="L2" s="3"/>
      <c r="M2" s="3"/>
      <c r="N2" s="3"/>
      <c r="O2" s="3"/>
      <c r="P2" s="3"/>
      <c r="Q2" s="3"/>
      <c r="R2" s="3"/>
    </row>
    <row r="3" customFormat="false" ht="21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</row>
    <row r="4" customFormat="false" ht="21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3"/>
      <c r="K4" s="3"/>
      <c r="L4" s="3"/>
      <c r="M4" s="3"/>
      <c r="N4" s="3"/>
      <c r="O4" s="3"/>
      <c r="P4" s="3"/>
      <c r="Q4" s="3"/>
      <c r="R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34.5" hidden="false" customHeight="true" outlineLevel="0" collapsed="false">
      <c r="A6" s="24" t="s">
        <v>50</v>
      </c>
      <c r="B6" s="24" t="s">
        <v>123</v>
      </c>
      <c r="C6" s="24" t="s">
        <v>124</v>
      </c>
      <c r="D6" s="24" t="s">
        <v>125</v>
      </c>
      <c r="E6" s="24" t="s">
        <v>126</v>
      </c>
      <c r="F6" s="24" t="s">
        <v>127</v>
      </c>
      <c r="G6" s="24" t="s">
        <v>128</v>
      </c>
      <c r="H6" s="24" t="s">
        <v>129</v>
      </c>
      <c r="I6" s="24" t="s">
        <v>130</v>
      </c>
      <c r="J6" s="3"/>
      <c r="K6" s="3"/>
      <c r="L6" s="3"/>
      <c r="M6" s="3"/>
      <c r="N6" s="3"/>
      <c r="O6" s="3"/>
      <c r="P6" s="3"/>
      <c r="Q6" s="3"/>
      <c r="R6" s="3"/>
    </row>
    <row r="7" customFormat="false" ht="21.75" hidden="false" customHeight="true" outlineLevel="0" collapsed="false">
      <c r="A7" s="20" t="s">
        <v>58</v>
      </c>
      <c r="B7" s="41" t="n">
        <f aca="false">'1️⃣ Valor Hora'!H7</f>
        <v>30784.0909090909</v>
      </c>
      <c r="C7" s="32" t="n">
        <f aca="false">B7*'⚙️ Supuestos'!D53</f>
        <v>1108227.27272727</v>
      </c>
      <c r="D7" s="50" t="n">
        <f aca="false">'⚙️ Supuestos'!F9</f>
        <v>0.6</v>
      </c>
      <c r="E7" s="33" t="s">
        <v>131</v>
      </c>
      <c r="F7" s="46" t="n">
        <f aca="false">C7*D7</f>
        <v>664936.363636364</v>
      </c>
      <c r="G7" s="47" t="n">
        <f aca="false">F7/SUM(F7:F11)</f>
        <v>0.618556701030928</v>
      </c>
      <c r="H7" s="32" t="n">
        <f aca="false">F7/3</f>
        <v>221645.454545455</v>
      </c>
      <c r="I7" s="32" t="n">
        <f aca="false">F7/36</f>
        <v>18470.4545454545</v>
      </c>
      <c r="J7" s="3"/>
      <c r="K7" s="3"/>
      <c r="L7" s="3"/>
      <c r="M7" s="3"/>
      <c r="N7" s="3"/>
      <c r="O7" s="3"/>
      <c r="P7" s="3"/>
      <c r="Q7" s="3"/>
      <c r="R7" s="3"/>
    </row>
    <row r="8" customFormat="false" ht="21.75" hidden="false" customHeight="true" outlineLevel="0" collapsed="false">
      <c r="A8" s="20" t="s">
        <v>59</v>
      </c>
      <c r="B8" s="41" t="n">
        <f aca="false">'1️⃣ Valor Hora'!H8</f>
        <v>6156.81818181818</v>
      </c>
      <c r="C8" s="32" t="n">
        <f aca="false">B8*'⚙️ Supuestos'!D53</f>
        <v>221645.454545455</v>
      </c>
      <c r="D8" s="50" t="n">
        <f aca="false">'⚙️ Supuestos'!F10</f>
        <v>0.7</v>
      </c>
      <c r="E8" s="33" t="s">
        <v>132</v>
      </c>
      <c r="F8" s="46" t="n">
        <f aca="false">C8*D8</f>
        <v>155151.818181818</v>
      </c>
      <c r="G8" s="48" t="n">
        <f aca="false">F8/SUM(F7:F11)</f>
        <v>0.144329896907216</v>
      </c>
      <c r="H8" s="32" t="n">
        <f aca="false">F8/3</f>
        <v>51717.2727272727</v>
      </c>
      <c r="I8" s="32" t="n">
        <f aca="false">F8/36</f>
        <v>4309.77272727273</v>
      </c>
      <c r="J8" s="3"/>
      <c r="K8" s="3"/>
      <c r="L8" s="3"/>
      <c r="M8" s="3"/>
      <c r="N8" s="3"/>
      <c r="O8" s="3"/>
      <c r="P8" s="3"/>
      <c r="Q8" s="3"/>
      <c r="R8" s="3"/>
    </row>
    <row r="9" customFormat="false" ht="21.75" hidden="false" customHeight="true" outlineLevel="0" collapsed="false">
      <c r="A9" s="20" t="s">
        <v>60</v>
      </c>
      <c r="B9" s="41" t="n">
        <f aca="false">'1️⃣ Valor Hora'!H9</f>
        <v>5717.04545454545</v>
      </c>
      <c r="C9" s="32" t="n">
        <f aca="false">B9*'⚙️ Supuestos'!D53</f>
        <v>205813.636363636</v>
      </c>
      <c r="D9" s="50" t="n">
        <f aca="false">'⚙️ Supuestos'!F11</f>
        <v>0.7</v>
      </c>
      <c r="E9" s="33" t="s">
        <v>132</v>
      </c>
      <c r="F9" s="46" t="n">
        <f aca="false">C9*D9</f>
        <v>144069.545454545</v>
      </c>
      <c r="G9" s="47" t="n">
        <f aca="false">F9/SUM(F7:F11)</f>
        <v>0.134020618556701</v>
      </c>
      <c r="H9" s="32" t="n">
        <f aca="false">F9/3</f>
        <v>48023.1818181818</v>
      </c>
      <c r="I9" s="32" t="n">
        <f aca="false">F9/36</f>
        <v>4001.93181818182</v>
      </c>
      <c r="J9" s="3"/>
      <c r="K9" s="3"/>
      <c r="L9" s="3"/>
      <c r="M9" s="3"/>
      <c r="N9" s="3"/>
      <c r="O9" s="3"/>
      <c r="P9" s="3"/>
      <c r="Q9" s="3"/>
      <c r="R9" s="3"/>
    </row>
    <row r="10" customFormat="false" ht="21.75" hidden="false" customHeight="true" outlineLevel="0" collapsed="false">
      <c r="A10" s="20" t="s">
        <v>61</v>
      </c>
      <c r="B10" s="41" t="n">
        <f aca="false">'1️⃣ Valor Hora'!H10</f>
        <v>2198.86363636364</v>
      </c>
      <c r="C10" s="32" t="n">
        <f aca="false">B10*'⚙️ Supuestos'!D53</f>
        <v>79159.0909090909</v>
      </c>
      <c r="D10" s="50" t="n">
        <f aca="false">'⚙️ Supuestos'!F12</f>
        <v>1</v>
      </c>
      <c r="E10" s="33" t="s">
        <v>133</v>
      </c>
      <c r="F10" s="46" t="n">
        <f aca="false">C10*D10</f>
        <v>79159.0909090909</v>
      </c>
      <c r="G10" s="48" t="n">
        <f aca="false">F10/SUM(F7:F11)</f>
        <v>0.0736377025036819</v>
      </c>
      <c r="H10" s="32" t="n">
        <f aca="false">F10/3</f>
        <v>26386.3636363636</v>
      </c>
      <c r="I10" s="32" t="n">
        <f aca="false">F10/36</f>
        <v>2198.86363636364</v>
      </c>
      <c r="J10" s="3"/>
      <c r="K10" s="3"/>
      <c r="L10" s="3"/>
      <c r="M10" s="3"/>
      <c r="N10" s="3"/>
      <c r="O10" s="3"/>
      <c r="P10" s="3"/>
      <c r="Q10" s="3"/>
      <c r="R10" s="3"/>
    </row>
    <row r="11" customFormat="false" ht="21.75" hidden="false" customHeight="true" outlineLevel="0" collapsed="false">
      <c r="A11" s="20" t="s">
        <v>63</v>
      </c>
      <c r="B11" s="41" t="n">
        <f aca="false">'1️⃣ Valor Hora'!H11</f>
        <v>879.545454545454</v>
      </c>
      <c r="C11" s="32" t="n">
        <f aca="false">B11*'⚙️ Supuestos'!D53</f>
        <v>31663.6363636364</v>
      </c>
      <c r="D11" s="50" t="n">
        <f aca="false">'⚙️ Supuestos'!F13</f>
        <v>1</v>
      </c>
      <c r="E11" s="33" t="s">
        <v>133</v>
      </c>
      <c r="F11" s="46" t="n">
        <f aca="false">C11*D11</f>
        <v>31663.6363636364</v>
      </c>
      <c r="G11" s="47" t="n">
        <f aca="false">F11/SUM(F7:F11)</f>
        <v>0.0294550810014727</v>
      </c>
      <c r="H11" s="32" t="n">
        <f aca="false">F11/3</f>
        <v>10554.5454545455</v>
      </c>
      <c r="I11" s="32" t="n">
        <f aca="false">F11/36</f>
        <v>879.545454545454</v>
      </c>
      <c r="J11" s="3"/>
      <c r="K11" s="3"/>
      <c r="L11" s="3"/>
      <c r="M11" s="3"/>
      <c r="N11" s="3"/>
      <c r="O11" s="3"/>
      <c r="P11" s="3"/>
      <c r="Q11" s="3"/>
      <c r="R11" s="3"/>
    </row>
    <row r="12" customFormat="false" ht="15" hidden="false" customHeight="true" outlineLevel="0" collapsed="false">
      <c r="A12" s="36" t="s">
        <v>119</v>
      </c>
      <c r="B12" s="36"/>
      <c r="C12" s="36"/>
      <c r="D12" s="36"/>
      <c r="E12" s="36"/>
      <c r="F12" s="35" t="n">
        <f aca="false">SUM(F7:F11)</f>
        <v>1074980.45454545</v>
      </c>
      <c r="G12" s="3"/>
      <c r="H12" s="35" t="n">
        <f aca="false">SUM(H7:H11)</f>
        <v>358326.818181818</v>
      </c>
      <c r="I12" s="35" t="n">
        <f aca="false">SUM(I7:I11)</f>
        <v>29860.5681818182</v>
      </c>
      <c r="J12" s="3"/>
      <c r="K12" s="3"/>
      <c r="L12" s="3"/>
      <c r="M12" s="3"/>
      <c r="N12" s="3"/>
      <c r="O12" s="3"/>
      <c r="P12" s="3"/>
      <c r="Q12" s="3"/>
      <c r="R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customFormat="false" ht="24.75" hidden="false" customHeight="true" outlineLevel="0" collapsed="false">
      <c r="A14" s="5" t="s">
        <v>134</v>
      </c>
      <c r="B14" s="5"/>
      <c r="C14" s="5"/>
      <c r="D14" s="5"/>
      <c r="E14" s="5"/>
      <c r="F14" s="5"/>
      <c r="G14" s="5"/>
      <c r="H14" s="5"/>
      <c r="I14" s="5"/>
      <c r="J14" s="3"/>
      <c r="K14" s="3"/>
      <c r="L14" s="3"/>
      <c r="M14" s="3"/>
      <c r="N14" s="3"/>
      <c r="O14" s="3"/>
      <c r="P14" s="3"/>
      <c r="Q14" s="3"/>
      <c r="R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</sheetData>
  <mergeCells count="4">
    <mergeCell ref="A1:I1"/>
    <mergeCell ref="A2:I4"/>
    <mergeCell ref="A12:E12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28"/>
    <col collapsed="false" customWidth="true" hidden="false" outlineLevel="0" max="5" min="5" style="1" width="12"/>
    <col collapsed="false" customWidth="true" hidden="false" outlineLevel="0" max="6" min="6" style="1" width="28"/>
  </cols>
  <sheetData>
    <row r="1" customFormat="false" ht="31.5" hidden="false" customHeight="true" outlineLevel="0" collapsed="false">
      <c r="A1" s="23" t="s">
        <v>135</v>
      </c>
      <c r="B1" s="23"/>
      <c r="C1" s="23"/>
      <c r="D1" s="23"/>
      <c r="E1" s="23"/>
      <c r="F1" s="2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21.75" hidden="false" customHeight="true" outlineLevel="0" collapsed="false">
      <c r="A2" s="5" t="s">
        <v>136</v>
      </c>
      <c r="B2" s="5"/>
      <c r="C2" s="5"/>
      <c r="D2" s="5"/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21.75" hidden="false" customHeight="true" outlineLevel="0" collapsed="false">
      <c r="A3" s="5"/>
      <c r="B3" s="5"/>
      <c r="C3" s="5"/>
      <c r="D3" s="5"/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21.75" hidden="false" customHeight="true" outlineLevel="0" collapsed="false">
      <c r="A4" s="5"/>
      <c r="B4" s="5"/>
      <c r="C4" s="5"/>
      <c r="D4" s="5"/>
      <c r="E4" s="5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27.75" hidden="false" customHeight="true" outlineLevel="0" collapsed="false">
      <c r="A6" s="24" t="s">
        <v>137</v>
      </c>
      <c r="B6" s="24" t="s">
        <v>68</v>
      </c>
      <c r="C6" s="24" t="s">
        <v>138</v>
      </c>
      <c r="D6" s="24" t="s">
        <v>139</v>
      </c>
      <c r="E6" s="24" t="s">
        <v>140</v>
      </c>
      <c r="F6" s="24" t="s">
        <v>141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customFormat="false" ht="19.5" hidden="false" customHeight="true" outlineLevel="0" collapsed="false">
      <c r="A7" s="51" t="s">
        <v>142</v>
      </c>
      <c r="B7" s="25" t="n">
        <v>4500</v>
      </c>
      <c r="C7" s="19" t="s">
        <v>143</v>
      </c>
      <c r="D7" s="19" t="s">
        <v>144</v>
      </c>
      <c r="E7" s="52" t="s">
        <v>145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customFormat="false" ht="19.5" hidden="false" customHeight="true" outlineLevel="0" collapsed="false">
      <c r="A8" s="51" t="s">
        <v>146</v>
      </c>
      <c r="B8" s="25" t="n">
        <v>10000</v>
      </c>
      <c r="C8" s="19" t="s">
        <v>143</v>
      </c>
      <c r="D8" s="19" t="s">
        <v>147</v>
      </c>
      <c r="E8" s="52" t="s">
        <v>145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customFormat="false" ht="19.5" hidden="false" customHeight="true" outlineLevel="0" collapsed="false">
      <c r="A9" s="51" t="s">
        <v>148</v>
      </c>
      <c r="B9" s="25" t="n">
        <v>1500</v>
      </c>
      <c r="C9" s="19" t="s">
        <v>149</v>
      </c>
      <c r="D9" s="19" t="s">
        <v>150</v>
      </c>
      <c r="E9" s="52" t="s">
        <v>145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customFormat="false" ht="19.5" hidden="false" customHeight="true" outlineLevel="0" collapsed="false">
      <c r="A10" s="51" t="s">
        <v>151</v>
      </c>
      <c r="B10" s="25" t="n">
        <v>1968</v>
      </c>
      <c r="C10" s="19" t="s">
        <v>149</v>
      </c>
      <c r="D10" s="19" t="s">
        <v>152</v>
      </c>
      <c r="E10" s="52" t="s">
        <v>145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customFormat="false" ht="19.5" hidden="false" customHeight="true" outlineLevel="0" collapsed="false">
      <c r="A11" s="51" t="s">
        <v>153</v>
      </c>
      <c r="B11" s="25" t="n">
        <v>675</v>
      </c>
      <c r="C11" s="19" t="s">
        <v>149</v>
      </c>
      <c r="D11" s="19" t="s">
        <v>154</v>
      </c>
      <c r="E11" s="52" t="s">
        <v>145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customFormat="false" ht="19.5" hidden="false" customHeight="true" outlineLevel="0" collapsed="false">
      <c r="A12" s="51" t="s">
        <v>155</v>
      </c>
      <c r="B12" s="25" t="n">
        <v>500</v>
      </c>
      <c r="C12" s="19" t="s">
        <v>156</v>
      </c>
      <c r="D12" s="19" t="s">
        <v>157</v>
      </c>
      <c r="E12" s="52" t="s">
        <v>145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customFormat="false" ht="19.5" hidden="false" customHeight="true" outlineLevel="0" collapsed="false">
      <c r="A13" s="51" t="s">
        <v>158</v>
      </c>
      <c r="B13" s="25" t="n">
        <v>2000</v>
      </c>
      <c r="C13" s="19" t="s">
        <v>159</v>
      </c>
      <c r="D13" s="19" t="s">
        <v>160</v>
      </c>
      <c r="E13" s="52" t="s">
        <v>145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customFormat="false" ht="19.5" hidden="false" customHeight="true" outlineLevel="0" collapsed="false">
      <c r="A14" s="51" t="s">
        <v>161</v>
      </c>
      <c r="B14" s="25" t="n">
        <v>300</v>
      </c>
      <c r="C14" s="19" t="s">
        <v>162</v>
      </c>
      <c r="D14" s="19" t="s">
        <v>163</v>
      </c>
      <c r="E14" s="52" t="s">
        <v>145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customFormat="false" ht="19.5" hidden="false" customHeight="true" outlineLevel="0" collapsed="false">
      <c r="A15" s="51" t="s">
        <v>164</v>
      </c>
      <c r="B15" s="25" t="n">
        <v>2000</v>
      </c>
      <c r="C15" s="19" t="s">
        <v>159</v>
      </c>
      <c r="D15" s="19" t="s">
        <v>165</v>
      </c>
      <c r="E15" s="52" t="s">
        <v>145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customFormat="false" ht="19.5" hidden="false" customHeight="true" outlineLevel="0" collapsed="false">
      <c r="A16" s="51" t="s">
        <v>166</v>
      </c>
      <c r="B16" s="25" t="n">
        <v>6000</v>
      </c>
      <c r="C16" s="19" t="s">
        <v>159</v>
      </c>
      <c r="D16" s="19" t="s">
        <v>167</v>
      </c>
      <c r="E16" s="52" t="s">
        <v>145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customFormat="false" ht="19.5" hidden="false" customHeight="true" outlineLevel="0" collapsed="false">
      <c r="A17" s="51" t="s">
        <v>168</v>
      </c>
      <c r="B17" s="25" t="n">
        <v>6000</v>
      </c>
      <c r="C17" s="19" t="s">
        <v>169</v>
      </c>
      <c r="D17" s="19" t="s">
        <v>170</v>
      </c>
      <c r="E17" s="52" t="s">
        <v>145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customFormat="false" ht="19.5" hidden="false" customHeight="true" outlineLevel="0" collapsed="false">
      <c r="A18" s="51" t="s">
        <v>171</v>
      </c>
      <c r="B18" s="25" t="n">
        <v>1500</v>
      </c>
      <c r="C18" s="19" t="s">
        <v>156</v>
      </c>
      <c r="D18" s="19" t="s">
        <v>172</v>
      </c>
      <c r="E18" s="52" t="s">
        <v>145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customFormat="false" ht="19.5" hidden="false" customHeight="true" outlineLevel="0" collapsed="false">
      <c r="A19" s="51" t="s">
        <v>173</v>
      </c>
      <c r="B19" s="25" t="n">
        <v>1800</v>
      </c>
      <c r="C19" s="19" t="s">
        <v>156</v>
      </c>
      <c r="D19" s="19" t="s">
        <v>174</v>
      </c>
      <c r="E19" s="52" t="s">
        <v>145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19.5" hidden="false" customHeight="true" outlineLevel="0" collapsed="false">
      <c r="A20" s="51" t="s">
        <v>175</v>
      </c>
      <c r="B20" s="25" t="n">
        <v>1500</v>
      </c>
      <c r="C20" s="19" t="s">
        <v>156</v>
      </c>
      <c r="D20" s="19" t="s">
        <v>176</v>
      </c>
      <c r="E20" s="52" t="s">
        <v>145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customFormat="false" ht="27.75" hidden="false" customHeight="true" outlineLevel="0" collapsed="false">
      <c r="A21" s="53" t="s">
        <v>177</v>
      </c>
      <c r="B21" s="54" t="n">
        <f aca="false">B7+B8+B9+B10+B11+B12+B13+B14+B15+B16+B17+B18+B19+B20</f>
        <v>40243</v>
      </c>
      <c r="C21" s="5" t="s">
        <v>178</v>
      </c>
      <c r="D21" s="5"/>
      <c r="E21" s="5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customFormat="false" ht="24" hidden="false" customHeight="true" outlineLevel="0" collapsed="false">
      <c r="A23" s="17" t="s">
        <v>179</v>
      </c>
      <c r="B23" s="17"/>
      <c r="C23" s="17"/>
      <c r="D23" s="17"/>
      <c r="E23" s="17"/>
      <c r="F23" s="1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customFormat="false" ht="21.75" hidden="false" customHeight="true" outlineLevel="0" collapsed="false">
      <c r="A24" s="5" t="s">
        <v>180</v>
      </c>
      <c r="B24" s="5"/>
      <c r="C24" s="5"/>
      <c r="D24" s="5"/>
      <c r="E24" s="5"/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customFormat="false" ht="21.75" hidden="false" customHeight="true" outlineLevel="0" collapsed="false">
      <c r="A25" s="5"/>
      <c r="B25" s="5"/>
      <c r="C25" s="5"/>
      <c r="D25" s="5"/>
      <c r="E25" s="5"/>
      <c r="F25" s="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customFormat="false" ht="19.5" hidden="false" customHeight="true" outlineLevel="0" collapsed="false">
      <c r="A26" s="55" t="s">
        <v>181</v>
      </c>
      <c r="B26" s="25" t="n">
        <v>8500</v>
      </c>
      <c r="C26" s="56" t="s">
        <v>182</v>
      </c>
      <c r="D26" s="19" t="s">
        <v>183</v>
      </c>
      <c r="E26" s="56" t="s">
        <v>184</v>
      </c>
      <c r="F26" s="57" t="s">
        <v>185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customFormat="false" ht="19.5" hidden="false" customHeight="true" outlineLevel="0" collapsed="false">
      <c r="A27" s="55" t="s">
        <v>186</v>
      </c>
      <c r="B27" s="25" t="n">
        <v>4500</v>
      </c>
      <c r="C27" s="56" t="s">
        <v>182</v>
      </c>
      <c r="D27" s="19" t="s">
        <v>187</v>
      </c>
      <c r="E27" s="56" t="s">
        <v>184</v>
      </c>
      <c r="F27" s="57" t="s">
        <v>185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customFormat="false" ht="27.75" hidden="false" customHeight="true" outlineLevel="0" collapsed="false">
      <c r="A28" s="58" t="s">
        <v>188</v>
      </c>
      <c r="B28" s="59" t="n">
        <f aca="false">B26+B27</f>
        <v>13000</v>
      </c>
      <c r="C28" s="5" t="s">
        <v>189</v>
      </c>
      <c r="D28" s="5"/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31.5" hidden="false" customHeight="true" outlineLevel="0" collapsed="false">
      <c r="A30" s="60" t="s">
        <v>190</v>
      </c>
      <c r="B30" s="61" t="n">
        <f aca="false">B21+B28</f>
        <v>53243</v>
      </c>
      <c r="C30" s="5" t="s">
        <v>191</v>
      </c>
      <c r="D30" s="5"/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</sheetData>
  <mergeCells count="7">
    <mergeCell ref="A1:F1"/>
    <mergeCell ref="A2:F4"/>
    <mergeCell ref="C21:F21"/>
    <mergeCell ref="A23:F23"/>
    <mergeCell ref="A24:F25"/>
    <mergeCell ref="C28:F28"/>
    <mergeCell ref="C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3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38"/>
  </cols>
  <sheetData>
    <row r="1" customFormat="false" ht="31.5" hidden="false" customHeight="true" outlineLevel="0" collapsed="false">
      <c r="A1" s="23" t="s">
        <v>192</v>
      </c>
      <c r="B1" s="23"/>
      <c r="C1" s="23"/>
      <c r="D1" s="23"/>
      <c r="E1" s="23"/>
      <c r="F1" s="23"/>
      <c r="G1" s="23"/>
      <c r="H1" s="23"/>
      <c r="I1" s="23"/>
      <c r="J1" s="3"/>
      <c r="K1" s="3"/>
      <c r="L1" s="3"/>
      <c r="M1" s="3"/>
      <c r="N1" s="3"/>
      <c r="O1" s="3"/>
      <c r="P1" s="3"/>
      <c r="Q1" s="3"/>
      <c r="R1" s="3"/>
    </row>
    <row r="2" customFormat="false" ht="21.75" hidden="false" customHeight="true" outlineLevel="0" collapsed="false">
      <c r="A2" s="5" t="s">
        <v>193</v>
      </c>
      <c r="B2" s="5"/>
      <c r="C2" s="5"/>
      <c r="D2" s="5"/>
      <c r="E2" s="5"/>
      <c r="F2" s="5"/>
      <c r="G2" s="5"/>
      <c r="H2" s="5"/>
      <c r="I2" s="5"/>
      <c r="J2" s="3"/>
      <c r="K2" s="3"/>
      <c r="L2" s="3"/>
      <c r="M2" s="3"/>
      <c r="N2" s="3"/>
      <c r="O2" s="3"/>
      <c r="P2" s="3"/>
      <c r="Q2" s="3"/>
      <c r="R2" s="3"/>
    </row>
    <row r="3" customFormat="false" ht="21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</row>
    <row r="4" customFormat="false" ht="21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3"/>
      <c r="K4" s="3"/>
      <c r="L4" s="3"/>
      <c r="M4" s="3"/>
      <c r="N4" s="3"/>
      <c r="O4" s="3"/>
      <c r="P4" s="3"/>
      <c r="Q4" s="3"/>
      <c r="R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34.5" hidden="false" customHeight="true" outlineLevel="0" collapsed="false">
      <c r="A6" s="24" t="s">
        <v>50</v>
      </c>
      <c r="B6" s="24" t="s">
        <v>194</v>
      </c>
      <c r="C6" s="24" t="s">
        <v>195</v>
      </c>
      <c r="D6" s="24" t="s">
        <v>196</v>
      </c>
      <c r="E6" s="24" t="s">
        <v>197</v>
      </c>
      <c r="F6" s="24" t="s">
        <v>198</v>
      </c>
      <c r="G6" s="24" t="s">
        <v>199</v>
      </c>
      <c r="H6" s="24" t="s">
        <v>200</v>
      </c>
      <c r="I6" s="24" t="s">
        <v>201</v>
      </c>
      <c r="J6" s="3"/>
      <c r="K6" s="3"/>
      <c r="L6" s="3"/>
      <c r="M6" s="3"/>
      <c r="N6" s="3"/>
      <c r="O6" s="3"/>
      <c r="P6" s="3"/>
      <c r="Q6" s="3"/>
      <c r="R6" s="3"/>
    </row>
    <row r="7" customFormat="false" ht="21.75" hidden="false" customHeight="true" outlineLevel="0" collapsed="false">
      <c r="A7" s="20" t="s">
        <v>58</v>
      </c>
      <c r="B7" s="62" t="n">
        <f aca="false">'⚙️ Supuestos'!G9</f>
        <v>0.63</v>
      </c>
      <c r="C7" s="41" t="n">
        <f aca="false">'5️⃣ Ticket'!B6</f>
        <v>5000</v>
      </c>
      <c r="D7" s="41" t="n">
        <f aca="false">'⚙️ Supuestos'!H9</f>
        <v>40243</v>
      </c>
      <c r="E7" s="41" t="n">
        <f aca="false">'2️⃣ Sweat Equity'!F7</f>
        <v>664936.363636364</v>
      </c>
      <c r="F7" s="46" t="n">
        <f aca="false">C7+D7+E7</f>
        <v>710179.363636364</v>
      </c>
      <c r="G7" s="47" t="n">
        <f aca="false">F7/F12</f>
        <v>0.610002625237985</v>
      </c>
      <c r="H7" s="63" t="n">
        <f aca="false">B7-G7</f>
        <v>0.0199973747620146</v>
      </c>
      <c r="I7" s="33" t="s">
        <v>202</v>
      </c>
      <c r="J7" s="3"/>
      <c r="K7" s="3"/>
      <c r="L7" s="3"/>
      <c r="M7" s="3"/>
      <c r="N7" s="3"/>
      <c r="O7" s="3"/>
      <c r="P7" s="3"/>
      <c r="Q7" s="3"/>
      <c r="R7" s="3"/>
    </row>
    <row r="8" customFormat="false" ht="21.75" hidden="false" customHeight="true" outlineLevel="0" collapsed="false">
      <c r="A8" s="20" t="s">
        <v>59</v>
      </c>
      <c r="B8" s="62" t="n">
        <f aca="false">'⚙️ Supuestos'!G10</f>
        <v>0.17</v>
      </c>
      <c r="C8" s="41" t="n">
        <f aca="false">'5️⃣ Ticket'!B7</f>
        <v>5000</v>
      </c>
      <c r="D8" s="41" t="n">
        <f aca="false">'⚙️ Supuestos'!H10</f>
        <v>20000</v>
      </c>
      <c r="E8" s="41" t="n">
        <f aca="false">'2️⃣ Sweat Equity'!F8</f>
        <v>155151.818181818</v>
      </c>
      <c r="F8" s="46" t="n">
        <f aca="false">C8+D8+E8</f>
        <v>180151.818181818</v>
      </c>
      <c r="G8" s="48" t="n">
        <f aca="false">F8/F12</f>
        <v>0.154739897636021</v>
      </c>
      <c r="H8" s="63" t="n">
        <f aca="false">B8-G8</f>
        <v>0.0152601023639792</v>
      </c>
      <c r="I8" s="33" t="s">
        <v>203</v>
      </c>
      <c r="J8" s="3"/>
      <c r="K8" s="3"/>
      <c r="L8" s="3"/>
      <c r="M8" s="3"/>
      <c r="N8" s="3"/>
      <c r="O8" s="3"/>
      <c r="P8" s="3"/>
      <c r="Q8" s="3"/>
      <c r="R8" s="3"/>
    </row>
    <row r="9" customFormat="false" ht="21.75" hidden="false" customHeight="true" outlineLevel="0" collapsed="false">
      <c r="A9" s="20" t="s">
        <v>60</v>
      </c>
      <c r="B9" s="62" t="n">
        <f aca="false">'⚙️ Supuestos'!G11</f>
        <v>0.11</v>
      </c>
      <c r="C9" s="41" t="n">
        <f aca="false">'5️⃣ Ticket'!B8</f>
        <v>5000</v>
      </c>
      <c r="D9" s="41" t="n">
        <f aca="false">'⚙️ Supuestos'!H11</f>
        <v>4000</v>
      </c>
      <c r="E9" s="41" t="n">
        <f aca="false">'2️⃣ Sweat Equity'!F9</f>
        <v>144069.545454545</v>
      </c>
      <c r="F9" s="46" t="n">
        <f aca="false">C9+D9+E9</f>
        <v>153069.545454545</v>
      </c>
      <c r="G9" s="47" t="n">
        <f aca="false">F9/F12</f>
        <v>0.13147780596321</v>
      </c>
      <c r="H9" s="63" t="n">
        <f aca="false">B9-G9</f>
        <v>-0.0214778059632101</v>
      </c>
      <c r="I9" s="33" t="s">
        <v>204</v>
      </c>
      <c r="J9" s="3"/>
      <c r="K9" s="3"/>
      <c r="L9" s="3"/>
      <c r="M9" s="3"/>
      <c r="N9" s="3"/>
      <c r="O9" s="3"/>
      <c r="P9" s="3"/>
      <c r="Q9" s="3"/>
      <c r="R9" s="3"/>
    </row>
    <row r="10" customFormat="false" ht="21.75" hidden="false" customHeight="true" outlineLevel="0" collapsed="false">
      <c r="A10" s="20" t="s">
        <v>61</v>
      </c>
      <c r="B10" s="62" t="n">
        <f aca="false">'⚙️ Supuestos'!G12</f>
        <v>0.06</v>
      </c>
      <c r="C10" s="41" t="n">
        <f aca="false">'5️⃣ Ticket'!B9</f>
        <v>5000</v>
      </c>
      <c r="D10" s="41" t="n">
        <f aca="false">'⚙️ Supuestos'!H12</f>
        <v>0</v>
      </c>
      <c r="E10" s="41" t="n">
        <f aca="false">'2️⃣ Sweat Equity'!F10</f>
        <v>79159.0909090909</v>
      </c>
      <c r="F10" s="46" t="n">
        <f aca="false">C10+D10+E10</f>
        <v>84159.0909090909</v>
      </c>
      <c r="G10" s="48" t="n">
        <f aca="false">F10/F12</f>
        <v>0.0722877473224837</v>
      </c>
      <c r="H10" s="63" t="n">
        <f aca="false">B10-G10</f>
        <v>-0.0122877473224837</v>
      </c>
      <c r="I10" s="33" t="s">
        <v>205</v>
      </c>
      <c r="J10" s="3"/>
      <c r="K10" s="3"/>
      <c r="L10" s="3"/>
      <c r="M10" s="3"/>
      <c r="N10" s="3"/>
      <c r="O10" s="3"/>
      <c r="P10" s="3"/>
      <c r="Q10" s="3"/>
      <c r="R10" s="3"/>
    </row>
    <row r="11" customFormat="false" ht="21.75" hidden="false" customHeight="true" outlineLevel="0" collapsed="false">
      <c r="A11" s="20" t="s">
        <v>63</v>
      </c>
      <c r="B11" s="62" t="n">
        <f aca="false">'⚙️ Supuestos'!G13</f>
        <v>0.03</v>
      </c>
      <c r="C11" s="41" t="n">
        <f aca="false">'5️⃣ Ticket'!B10</f>
        <v>5000</v>
      </c>
      <c r="D11" s="41" t="n">
        <f aca="false">'⚙️ Supuestos'!H13</f>
        <v>0</v>
      </c>
      <c r="E11" s="41" t="n">
        <f aca="false">'2️⃣ Sweat Equity'!F11</f>
        <v>31663.6363636364</v>
      </c>
      <c r="F11" s="46" t="n">
        <f aca="false">C11+D11+E11</f>
        <v>36663.6363636364</v>
      </c>
      <c r="G11" s="47" t="n">
        <f aca="false">F11/F12</f>
        <v>0.0314919238402999</v>
      </c>
      <c r="H11" s="63" t="n">
        <f aca="false">B11-G11</f>
        <v>-0.00149192384029994</v>
      </c>
      <c r="I11" s="33" t="s">
        <v>206</v>
      </c>
      <c r="J11" s="3"/>
      <c r="K11" s="3"/>
      <c r="L11" s="3"/>
      <c r="M11" s="3"/>
      <c r="N11" s="3"/>
      <c r="O11" s="3"/>
      <c r="P11" s="3"/>
      <c r="Q11" s="3"/>
      <c r="R11" s="3"/>
    </row>
    <row r="12" customFormat="false" ht="21.75" hidden="false" customHeight="true" outlineLevel="0" collapsed="false">
      <c r="A12" s="36" t="s">
        <v>207</v>
      </c>
      <c r="B12" s="64" t="n">
        <f aca="false">SUM(B7:B11)</f>
        <v>1</v>
      </c>
      <c r="C12" s="37" t="n">
        <f aca="false">SUM(C7:C11)</f>
        <v>25000</v>
      </c>
      <c r="D12" s="37" t="n">
        <f aca="false">SUM(D7:D11)</f>
        <v>64243</v>
      </c>
      <c r="E12" s="37" t="n">
        <f aca="false">SUM(E7:E11)</f>
        <v>1074980.45454545</v>
      </c>
      <c r="F12" s="37" t="n">
        <f aca="false">SUM(F7:F11)</f>
        <v>1164223.45454545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customFormat="false" ht="24.75" hidden="false" customHeight="true" outlineLevel="0" collapsed="false">
      <c r="A14" s="5" t="s">
        <v>208</v>
      </c>
      <c r="B14" s="5"/>
      <c r="C14" s="5"/>
      <c r="D14" s="5"/>
      <c r="E14" s="5"/>
      <c r="F14" s="5"/>
      <c r="G14" s="5"/>
      <c r="H14" s="5"/>
      <c r="I14" s="5"/>
      <c r="J14" s="3"/>
      <c r="K14" s="3"/>
      <c r="L14" s="3"/>
      <c r="M14" s="3"/>
      <c r="N14" s="3"/>
      <c r="O14" s="3"/>
      <c r="P14" s="3"/>
      <c r="Q14" s="3"/>
      <c r="R14" s="3"/>
    </row>
    <row r="15" customFormat="false" ht="24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3"/>
      <c r="K15" s="3"/>
      <c r="L15" s="3"/>
      <c r="M15" s="3"/>
      <c r="N15" s="3"/>
      <c r="O15" s="3"/>
      <c r="P15" s="3"/>
      <c r="Q15" s="3"/>
      <c r="R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</sheetData>
  <mergeCells count="3">
    <mergeCell ref="A1:I1"/>
    <mergeCell ref="A2:I4"/>
    <mergeCell ref="A14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5" min="5" style="1" width="28"/>
    <col collapsed="false" customWidth="true" hidden="false" outlineLevel="0" max="6" min="6" style="1" width="13"/>
    <col collapsed="false" customWidth="true" hidden="false" outlineLevel="0" max="7" min="7" style="1" width="42"/>
  </cols>
  <sheetData>
    <row r="1" customFormat="false" ht="31.5" hidden="false" customHeight="true" outlineLevel="0" collapsed="false">
      <c r="A1" s="23" t="s">
        <v>209</v>
      </c>
      <c r="B1" s="23"/>
      <c r="C1" s="23"/>
      <c r="D1" s="23"/>
      <c r="E1" s="23"/>
      <c r="F1" s="23"/>
      <c r="G1" s="2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21.75" hidden="false" customHeight="true" outlineLevel="0" collapsed="false">
      <c r="A2" s="5" t="s">
        <v>210</v>
      </c>
      <c r="B2" s="5"/>
      <c r="C2" s="5"/>
      <c r="D2" s="5"/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21.75" hidden="false" customHeight="true" outlineLevel="0" collapsed="false">
      <c r="A3" s="5"/>
      <c r="B3" s="5"/>
      <c r="C3" s="5"/>
      <c r="D3" s="5"/>
      <c r="E3" s="5"/>
      <c r="F3" s="5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30" hidden="false" customHeight="true" outlineLevel="0" collapsed="false">
      <c r="A5" s="24" t="s">
        <v>50</v>
      </c>
      <c r="B5" s="24" t="s">
        <v>68</v>
      </c>
      <c r="C5" s="24" t="s">
        <v>69</v>
      </c>
      <c r="D5" s="24" t="s">
        <v>70</v>
      </c>
      <c r="E5" s="24" t="s">
        <v>71</v>
      </c>
      <c r="F5" s="24" t="s">
        <v>116</v>
      </c>
      <c r="G5" s="24" t="s">
        <v>141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19.5" hidden="false" customHeight="true" outlineLevel="0" collapsed="false">
      <c r="A6" s="20" t="s">
        <v>58</v>
      </c>
      <c r="B6" s="41" t="n">
        <f aca="false">'⚙️ Supuestos'!B20</f>
        <v>5000</v>
      </c>
      <c r="C6" s="44" t="n">
        <f aca="false">'⚙️ Supuestos'!C20</f>
        <v>1</v>
      </c>
      <c r="D6" s="32" t="n">
        <f aca="false">B6/C6</f>
        <v>5000</v>
      </c>
      <c r="E6" s="33" t="s">
        <v>72</v>
      </c>
      <c r="F6" s="47" t="n">
        <f aca="false">B6/SUM(B6:B10)</f>
        <v>0.2</v>
      </c>
      <c r="G6" s="33" t="s">
        <v>211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customFormat="false" ht="19.5" hidden="false" customHeight="true" outlineLevel="0" collapsed="false">
      <c r="A7" s="20" t="s">
        <v>59</v>
      </c>
      <c r="B7" s="41" t="n">
        <f aca="false">'⚙️ Supuestos'!B21</f>
        <v>5000</v>
      </c>
      <c r="C7" s="44" t="n">
        <f aca="false">'⚙️ Supuestos'!C21</f>
        <v>3</v>
      </c>
      <c r="D7" s="32" t="n">
        <f aca="false">B7/C7</f>
        <v>1666.66666666667</v>
      </c>
      <c r="E7" s="33" t="s">
        <v>73</v>
      </c>
      <c r="F7" s="48" t="n">
        <f aca="false">B7/SUM(B6:B10)</f>
        <v>0.2</v>
      </c>
      <c r="G7" s="33" t="s">
        <v>212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customFormat="false" ht="19.5" hidden="false" customHeight="true" outlineLevel="0" collapsed="false">
      <c r="A8" s="20" t="s">
        <v>60</v>
      </c>
      <c r="B8" s="41" t="n">
        <f aca="false">'⚙️ Supuestos'!B22</f>
        <v>5000</v>
      </c>
      <c r="C8" s="44" t="n">
        <f aca="false">'⚙️ Supuestos'!C22</f>
        <v>3</v>
      </c>
      <c r="D8" s="32" t="n">
        <f aca="false">B8/C8</f>
        <v>1666.66666666667</v>
      </c>
      <c r="E8" s="33" t="s">
        <v>73</v>
      </c>
      <c r="F8" s="47" t="n">
        <f aca="false">B8/SUM(B6:B10)</f>
        <v>0.2</v>
      </c>
      <c r="G8" s="33" t="s">
        <v>212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customFormat="false" ht="19.5" hidden="false" customHeight="true" outlineLevel="0" collapsed="false">
      <c r="A9" s="20" t="s">
        <v>61</v>
      </c>
      <c r="B9" s="41" t="n">
        <f aca="false">'⚙️ Supuestos'!B23</f>
        <v>5000</v>
      </c>
      <c r="C9" s="44" t="n">
        <f aca="false">'⚙️ Supuestos'!C23</f>
        <v>3</v>
      </c>
      <c r="D9" s="32" t="n">
        <f aca="false">B9/C9</f>
        <v>1666.66666666667</v>
      </c>
      <c r="E9" s="33" t="s">
        <v>73</v>
      </c>
      <c r="F9" s="48" t="n">
        <f aca="false">B9/SUM(B6:B10)</f>
        <v>0.2</v>
      </c>
      <c r="G9" s="33" t="s">
        <v>212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customFormat="false" ht="19.5" hidden="false" customHeight="true" outlineLevel="0" collapsed="false">
      <c r="A10" s="20" t="s">
        <v>63</v>
      </c>
      <c r="B10" s="41" t="n">
        <f aca="false">'⚙️ Supuestos'!B24</f>
        <v>5000</v>
      </c>
      <c r="C10" s="44" t="n">
        <f aca="false">'⚙️ Supuestos'!C24</f>
        <v>5</v>
      </c>
      <c r="D10" s="32" t="n">
        <f aca="false">B10/C10</f>
        <v>1000</v>
      </c>
      <c r="E10" s="33" t="s">
        <v>74</v>
      </c>
      <c r="F10" s="47" t="n">
        <f aca="false">B10/SUM(B6:B10)</f>
        <v>0.2</v>
      </c>
      <c r="G10" s="33" t="s">
        <v>213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customFormat="false" ht="24.75" hidden="false" customHeight="true" outlineLevel="0" collapsed="false">
      <c r="A11" s="36" t="s">
        <v>214</v>
      </c>
      <c r="B11" s="36"/>
      <c r="C11" s="36"/>
      <c r="D11" s="49" t="n">
        <f aca="false">SUM(B6:B10)</f>
        <v>25000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</sheetData>
  <mergeCells count="3">
    <mergeCell ref="A1:G1"/>
    <mergeCell ref="A2:G3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6" min="2" style="1" width="14"/>
    <col collapsed="false" customWidth="true" hidden="false" outlineLevel="0" max="7" min="7" style="1" width="18"/>
    <col collapsed="false" customWidth="true" hidden="false" outlineLevel="0" max="8" min="8" style="1" width="28"/>
  </cols>
  <sheetData>
    <row r="1" customFormat="false" ht="31.5" hidden="false" customHeight="true" outlineLevel="0" collapsed="false">
      <c r="A1" s="23" t="s">
        <v>215</v>
      </c>
      <c r="B1" s="23"/>
      <c r="C1" s="23"/>
      <c r="D1" s="23"/>
      <c r="E1" s="23"/>
      <c r="F1" s="23"/>
      <c r="G1" s="23"/>
      <c r="H1" s="2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21.75" hidden="false" customHeight="true" outlineLevel="0" collapsed="false">
      <c r="A2" s="5" t="s">
        <v>216</v>
      </c>
      <c r="B2" s="5"/>
      <c r="C2" s="5"/>
      <c r="D2" s="5"/>
      <c r="E2" s="5"/>
      <c r="F2" s="5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21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21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48" hidden="false" customHeight="true" outlineLevel="0" collapsed="false">
      <c r="A6" s="24" t="s">
        <v>50</v>
      </c>
      <c r="B6" s="24" t="s">
        <v>217</v>
      </c>
      <c r="C6" s="24" t="s">
        <v>218</v>
      </c>
      <c r="D6" s="24" t="s">
        <v>219</v>
      </c>
      <c r="E6" s="24" t="s">
        <v>220</v>
      </c>
      <c r="F6" s="24" t="s">
        <v>221</v>
      </c>
      <c r="G6" s="24" t="s">
        <v>222</v>
      </c>
      <c r="H6" s="24" t="s">
        <v>223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customFormat="false" ht="21.75" hidden="false" customHeight="true" outlineLevel="0" collapsed="false">
      <c r="A7" s="20" t="s">
        <v>58</v>
      </c>
      <c r="B7" s="62" t="n">
        <f aca="false">'⚙️ Supuestos'!G9</f>
        <v>0.63</v>
      </c>
      <c r="C7" s="65" t="n">
        <f aca="false">B7*'⚙️ Supuestos'!D55</f>
        <v>0.20979</v>
      </c>
      <c r="D7" s="65" t="n">
        <f aca="false">C7+(B7*(1-'⚙️ Supuestos'!D55)/('⚙️ Supuestos'!D53-'⚙️ Supuestos'!D54))*5</f>
        <v>0.29733375</v>
      </c>
      <c r="E7" s="65" t="n">
        <f aca="false">C7+(B7*(1-'⚙️ Supuestos'!D55)/('⚙️ Supuestos'!D53-'⚙️ Supuestos'!D54))*12</f>
        <v>0.419895</v>
      </c>
      <c r="F7" s="31" t="n">
        <f aca="false">B7</f>
        <v>0.63</v>
      </c>
      <c r="G7" s="66" t="n">
        <f aca="false">B7*(1-'⚙️ Supuestos'!D55)/('⚙️ Supuestos'!D53-'⚙️ Supuestos'!D54)</f>
        <v>0.01750875</v>
      </c>
      <c r="H7" s="67" t="s">
        <v>224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customFormat="false" ht="21.75" hidden="false" customHeight="true" outlineLevel="0" collapsed="false">
      <c r="A8" s="20" t="s">
        <v>59</v>
      </c>
      <c r="B8" s="62" t="n">
        <f aca="false">'⚙️ Supuestos'!G10</f>
        <v>0.17</v>
      </c>
      <c r="C8" s="65" t="n">
        <f aca="false">B8*'⚙️ Supuestos'!D55</f>
        <v>0.05661</v>
      </c>
      <c r="D8" s="65" t="n">
        <f aca="false">C8+(B8*(1-'⚙️ Supuestos'!D55)/('⚙️ Supuestos'!D53-'⚙️ Supuestos'!D54))*5</f>
        <v>0.0802329166666667</v>
      </c>
      <c r="E8" s="65" t="n">
        <f aca="false">C8+(B8*(1-'⚙️ Supuestos'!D55)/('⚙️ Supuestos'!D53-'⚙️ Supuestos'!D54))*12</f>
        <v>0.113305</v>
      </c>
      <c r="F8" s="31" t="n">
        <f aca="false">B8</f>
        <v>0.17</v>
      </c>
      <c r="G8" s="66" t="n">
        <f aca="false">B8*(1-'⚙️ Supuestos'!D55)/('⚙️ Supuestos'!D53-'⚙️ Supuestos'!D54)</f>
        <v>0.00472458333333333</v>
      </c>
      <c r="H8" s="67" t="s">
        <v>224</v>
      </c>
      <c r="I8" s="3"/>
      <c r="J8" s="3"/>
      <c r="K8" s="3"/>
      <c r="L8" s="3"/>
      <c r="M8" s="3"/>
      <c r="N8" s="3"/>
      <c r="O8" s="3"/>
      <c r="P8" s="3"/>
      <c r="Q8" s="3"/>
      <c r="R8" s="3"/>
    </row>
    <row r="9" customFormat="false" ht="21.75" hidden="false" customHeight="true" outlineLevel="0" collapsed="false">
      <c r="A9" s="20" t="s">
        <v>60</v>
      </c>
      <c r="B9" s="62" t="n">
        <f aca="false">'⚙️ Supuestos'!G11</f>
        <v>0.11</v>
      </c>
      <c r="C9" s="65" t="n">
        <f aca="false">B9*'⚙️ Supuestos'!D55</f>
        <v>0.03663</v>
      </c>
      <c r="D9" s="65" t="n">
        <f aca="false">C9+(B9*(1-'⚙️ Supuestos'!D55)/('⚙️ Supuestos'!D53-'⚙️ Supuestos'!D54))*5</f>
        <v>0.0519154166666667</v>
      </c>
      <c r="E9" s="65" t="n">
        <f aca="false">C9+(B9*(1-'⚙️ Supuestos'!D55)/('⚙️ Supuestos'!D53-'⚙️ Supuestos'!D54))*12</f>
        <v>0.073315</v>
      </c>
      <c r="F9" s="31" t="n">
        <f aca="false">B9</f>
        <v>0.11</v>
      </c>
      <c r="G9" s="66" t="n">
        <f aca="false">B9*(1-'⚙️ Supuestos'!D55)/('⚙️ Supuestos'!D53-'⚙️ Supuestos'!D54)</f>
        <v>0.00305708333333333</v>
      </c>
      <c r="H9" s="67" t="s">
        <v>224</v>
      </c>
      <c r="I9" s="3"/>
      <c r="J9" s="3"/>
      <c r="K9" s="3"/>
      <c r="L9" s="3"/>
      <c r="M9" s="3"/>
      <c r="N9" s="3"/>
      <c r="O9" s="3"/>
      <c r="P9" s="3"/>
      <c r="Q9" s="3"/>
      <c r="R9" s="3"/>
    </row>
    <row r="10" customFormat="false" ht="21.75" hidden="false" customHeight="true" outlineLevel="0" collapsed="false">
      <c r="A10" s="20" t="s">
        <v>61</v>
      </c>
      <c r="B10" s="62" t="n">
        <f aca="false">'⚙️ Supuestos'!G12</f>
        <v>0.06</v>
      </c>
      <c r="C10" s="65" t="n">
        <f aca="false">B10*'⚙️ Supuestos'!D55</f>
        <v>0.01998</v>
      </c>
      <c r="D10" s="65" t="n">
        <f aca="false">C10+(B10*(1-'⚙️ Supuestos'!D55)/('⚙️ Supuestos'!D53-'⚙️ Supuestos'!D54))*5</f>
        <v>0.0283175</v>
      </c>
      <c r="E10" s="65" t="n">
        <f aca="false">C10+(B10*(1-'⚙️ Supuestos'!D55)/('⚙️ Supuestos'!D53-'⚙️ Supuestos'!D54))*12</f>
        <v>0.03999</v>
      </c>
      <c r="F10" s="31" t="n">
        <f aca="false">B10</f>
        <v>0.06</v>
      </c>
      <c r="G10" s="66" t="n">
        <f aca="false">B10*(1-'⚙️ Supuestos'!D55)/('⚙️ Supuestos'!D53-'⚙️ Supuestos'!D54)</f>
        <v>0.0016675</v>
      </c>
      <c r="H10" s="67" t="s">
        <v>224</v>
      </c>
      <c r="I10" s="3"/>
      <c r="J10" s="3"/>
      <c r="K10" s="3"/>
      <c r="L10" s="3"/>
      <c r="M10" s="3"/>
      <c r="N10" s="3"/>
      <c r="O10" s="3"/>
      <c r="P10" s="3"/>
      <c r="Q10" s="3"/>
      <c r="R10" s="3"/>
    </row>
    <row r="11" customFormat="false" ht="21.75" hidden="false" customHeight="true" outlineLevel="0" collapsed="false">
      <c r="A11" s="20" t="s">
        <v>63</v>
      </c>
      <c r="B11" s="62" t="n">
        <f aca="false">'⚙️ Supuestos'!G13</f>
        <v>0.03</v>
      </c>
      <c r="C11" s="65" t="n">
        <f aca="false">B11*'⚙️ Supuestos'!D55</f>
        <v>0.00999</v>
      </c>
      <c r="D11" s="65" t="n">
        <f aca="false">C11+(B11*(1-'⚙️ Supuestos'!D55)/('⚙️ Supuestos'!D53-'⚙️ Supuestos'!D54))*5</f>
        <v>0.01415875</v>
      </c>
      <c r="E11" s="65" t="n">
        <f aca="false">C11+(B11*(1-'⚙️ Supuestos'!D55)/('⚙️ Supuestos'!D53-'⚙️ Supuestos'!D54))*12</f>
        <v>0.019995</v>
      </c>
      <c r="F11" s="31" t="n">
        <f aca="false">B11</f>
        <v>0.03</v>
      </c>
      <c r="G11" s="66" t="n">
        <f aca="false">B11*(1-'⚙️ Supuestos'!D55)/('⚙️ Supuestos'!D53-'⚙️ Supuestos'!D54)</f>
        <v>0.00083375</v>
      </c>
      <c r="H11" s="67" t="s">
        <v>224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customFormat="false" ht="24" hidden="false" customHeight="true" outlineLevel="0" collapsed="false">
      <c r="A13" s="17" t="s">
        <v>225</v>
      </c>
      <c r="B13" s="17"/>
      <c r="C13" s="17"/>
      <c r="D13" s="17"/>
      <c r="E13" s="17"/>
      <c r="F13" s="17"/>
      <c r="G13" s="17"/>
      <c r="H13" s="17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customFormat="false" ht="21.75" hidden="false" customHeight="true" outlineLevel="0" collapsed="false">
      <c r="A14" s="34" t="s">
        <v>226</v>
      </c>
      <c r="B14" s="34"/>
      <c r="C14" s="34" t="s">
        <v>227</v>
      </c>
      <c r="D14" s="34"/>
      <c r="E14" s="34"/>
      <c r="F14" s="34"/>
      <c r="G14" s="34" t="s">
        <v>228</v>
      </c>
      <c r="H14" s="34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customFormat="false" ht="27.75" hidden="false" customHeight="true" outlineLevel="0" collapsed="false">
      <c r="A15" s="68" t="s">
        <v>229</v>
      </c>
      <c r="B15" s="68"/>
      <c r="C15" s="69" t="s">
        <v>230</v>
      </c>
      <c r="D15" s="69"/>
      <c r="E15" s="69"/>
      <c r="F15" s="69"/>
      <c r="G15" s="70" t="s">
        <v>231</v>
      </c>
      <c r="H15" s="70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customFormat="false" ht="27.75" hidden="false" customHeight="true" outlineLevel="0" collapsed="false">
      <c r="A16" s="20" t="s">
        <v>232</v>
      </c>
      <c r="B16" s="20"/>
      <c r="C16" s="71" t="s">
        <v>233</v>
      </c>
      <c r="D16" s="71"/>
      <c r="E16" s="71"/>
      <c r="F16" s="71"/>
      <c r="G16" s="72" t="s">
        <v>234</v>
      </c>
      <c r="H16" s="72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customFormat="false" ht="27.75" hidden="false" customHeight="true" outlineLevel="0" collapsed="false">
      <c r="A17" s="73" t="s">
        <v>235</v>
      </c>
      <c r="B17" s="73"/>
      <c r="C17" s="69" t="s">
        <v>236</v>
      </c>
      <c r="D17" s="69"/>
      <c r="E17" s="69"/>
      <c r="F17" s="69"/>
      <c r="G17" s="70" t="s">
        <v>237</v>
      </c>
      <c r="H17" s="70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customFormat="false" ht="27.75" hidden="false" customHeight="true" outlineLevel="0" collapsed="false">
      <c r="A18" s="21" t="s">
        <v>238</v>
      </c>
      <c r="B18" s="21"/>
      <c r="C18" s="71" t="s">
        <v>239</v>
      </c>
      <c r="D18" s="71"/>
      <c r="E18" s="71"/>
      <c r="F18" s="71"/>
      <c r="G18" s="72" t="s">
        <v>240</v>
      </c>
      <c r="H18" s="72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customFormat="false" ht="27.75" hidden="false" customHeight="true" outlineLevel="0" collapsed="false">
      <c r="A19" s="68" t="s">
        <v>241</v>
      </c>
      <c r="B19" s="68"/>
      <c r="C19" s="69" t="s">
        <v>239</v>
      </c>
      <c r="D19" s="69"/>
      <c r="E19" s="69"/>
      <c r="F19" s="69"/>
      <c r="G19" s="70" t="s">
        <v>242</v>
      </c>
      <c r="H19" s="70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27.75" hidden="false" customHeight="true" outlineLevel="0" collapsed="false">
      <c r="A20" s="20" t="s">
        <v>243</v>
      </c>
      <c r="B20" s="20"/>
      <c r="C20" s="71" t="s">
        <v>244</v>
      </c>
      <c r="D20" s="71"/>
      <c r="E20" s="71"/>
      <c r="F20" s="71"/>
      <c r="G20" s="72" t="s">
        <v>245</v>
      </c>
      <c r="H20" s="72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</sheetData>
  <mergeCells count="24">
    <mergeCell ref="A1:H1"/>
    <mergeCell ref="A2:H4"/>
    <mergeCell ref="A13:H13"/>
    <mergeCell ref="A14:B14"/>
    <mergeCell ref="C14:F14"/>
    <mergeCell ref="G14:H14"/>
    <mergeCell ref="A15:B15"/>
    <mergeCell ref="C15:F15"/>
    <mergeCell ref="G15:H15"/>
    <mergeCell ref="A16:B16"/>
    <mergeCell ref="C16:F16"/>
    <mergeCell ref="G16:H16"/>
    <mergeCell ref="A17:B17"/>
    <mergeCell ref="C17:F17"/>
    <mergeCell ref="G17:H17"/>
    <mergeCell ref="A18:B18"/>
    <mergeCell ref="C18:F18"/>
    <mergeCell ref="G18:H18"/>
    <mergeCell ref="A19:B19"/>
    <mergeCell ref="C19:F19"/>
    <mergeCell ref="G19:H19"/>
    <mergeCell ref="A20:B20"/>
    <mergeCell ref="C20:F20"/>
    <mergeCell ref="G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1"/>
    <col collapsed="false" customWidth="true" hidden="false" outlineLevel="0" max="9" min="9" style="1" width="13"/>
    <col collapsed="false" customWidth="true" hidden="false" outlineLevel="0" max="10" min="10" style="1" width="35"/>
  </cols>
  <sheetData>
    <row r="1" customFormat="false" ht="31.5" hidden="false" customHeight="true" outlineLevel="0" collapsed="false">
      <c r="A1" s="23" t="s">
        <v>246</v>
      </c>
      <c r="B1" s="23"/>
      <c r="C1" s="23"/>
      <c r="D1" s="23"/>
      <c r="E1" s="23"/>
      <c r="F1" s="23"/>
      <c r="G1" s="23"/>
      <c r="H1" s="23"/>
      <c r="I1" s="23"/>
      <c r="J1" s="23"/>
      <c r="K1" s="3"/>
      <c r="L1" s="3"/>
      <c r="M1" s="3"/>
      <c r="N1" s="3"/>
      <c r="O1" s="3"/>
      <c r="P1" s="3"/>
      <c r="Q1" s="3"/>
      <c r="R1" s="3"/>
    </row>
    <row r="2" customFormat="false" ht="21.75" hidden="false" customHeight="true" outlineLevel="0" collapsed="false">
      <c r="A2" s="5" t="s">
        <v>247</v>
      </c>
      <c r="B2" s="5"/>
      <c r="C2" s="5"/>
      <c r="D2" s="5"/>
      <c r="E2" s="5"/>
      <c r="F2" s="5"/>
      <c r="G2" s="5"/>
      <c r="H2" s="5"/>
      <c r="I2" s="5"/>
      <c r="J2" s="5"/>
      <c r="K2" s="3"/>
      <c r="L2" s="3"/>
      <c r="M2" s="3"/>
      <c r="N2" s="3"/>
      <c r="O2" s="3"/>
      <c r="P2" s="3"/>
      <c r="Q2" s="3"/>
      <c r="R2" s="3"/>
    </row>
    <row r="3" customFormat="false" ht="21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3"/>
      <c r="L3" s="3"/>
      <c r="M3" s="3"/>
      <c r="N3" s="3"/>
      <c r="O3" s="3"/>
      <c r="P3" s="3"/>
      <c r="Q3" s="3"/>
      <c r="R3" s="3"/>
    </row>
    <row r="4" customFormat="false" ht="21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3"/>
      <c r="L4" s="3"/>
      <c r="M4" s="3"/>
      <c r="N4" s="3"/>
      <c r="O4" s="3"/>
      <c r="P4" s="3"/>
      <c r="Q4" s="3"/>
      <c r="R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27.75" hidden="false" customHeight="true" outlineLevel="0" collapsed="false">
      <c r="A6" s="34" t="s">
        <v>248</v>
      </c>
      <c r="B6" s="36" t="s">
        <v>79</v>
      </c>
      <c r="C6" s="36" t="s">
        <v>80</v>
      </c>
      <c r="D6" s="36" t="s">
        <v>81</v>
      </c>
      <c r="E6" s="36" t="s">
        <v>82</v>
      </c>
      <c r="F6" s="36" t="s">
        <v>83</v>
      </c>
      <c r="G6" s="36" t="s">
        <v>84</v>
      </c>
      <c r="H6" s="36" t="s">
        <v>85</v>
      </c>
      <c r="I6" s="24" t="s">
        <v>249</v>
      </c>
      <c r="J6" s="36" t="s">
        <v>141</v>
      </c>
      <c r="K6" s="3"/>
      <c r="L6" s="3"/>
      <c r="M6" s="3"/>
      <c r="N6" s="3"/>
      <c r="O6" s="3"/>
      <c r="P6" s="3"/>
      <c r="Q6" s="3"/>
      <c r="R6" s="3"/>
    </row>
    <row r="7" customFormat="false" ht="24" hidden="false" customHeight="true" outlineLevel="0" collapsed="false">
      <c r="A7" s="17" t="s">
        <v>250</v>
      </c>
      <c r="B7" s="17"/>
      <c r="C7" s="17"/>
      <c r="D7" s="17"/>
      <c r="E7" s="17"/>
      <c r="F7" s="17"/>
      <c r="G7" s="17"/>
      <c r="H7" s="17"/>
      <c r="I7" s="17"/>
      <c r="J7" s="17"/>
      <c r="K7" s="3"/>
      <c r="L7" s="3"/>
      <c r="M7" s="3"/>
      <c r="N7" s="3"/>
      <c r="O7" s="3"/>
      <c r="P7" s="3"/>
      <c r="Q7" s="3"/>
      <c r="R7" s="3"/>
    </row>
    <row r="8" customFormat="false" ht="19.5" hidden="false" customHeight="true" outlineLevel="0" collapsed="false">
      <c r="A8" s="5" t="s">
        <v>251</v>
      </c>
      <c r="B8" s="5"/>
      <c r="C8" s="5"/>
      <c r="D8" s="5"/>
      <c r="E8" s="5"/>
      <c r="F8" s="5"/>
      <c r="G8" s="5"/>
      <c r="H8" s="5"/>
      <c r="I8" s="5"/>
      <c r="J8" s="5"/>
      <c r="K8" s="3"/>
      <c r="L8" s="3"/>
      <c r="M8" s="3"/>
      <c r="N8" s="3"/>
      <c r="O8" s="3"/>
      <c r="P8" s="3"/>
      <c r="Q8" s="3"/>
      <c r="R8" s="3"/>
    </row>
    <row r="9" customFormat="false" ht="19.5" hidden="false" customHeight="true" outlineLevel="0" collapsed="false">
      <c r="A9" s="12" t="s">
        <v>252</v>
      </c>
      <c r="B9" s="41" t="n">
        <f aca="false">'⚙️ Supuestos'!B31</f>
        <v>9000</v>
      </c>
      <c r="C9" s="41" t="n">
        <f aca="false">'⚙️ Supuestos'!C31</f>
        <v>20000</v>
      </c>
      <c r="D9" s="41" t="n">
        <f aca="false">'⚙️ Supuestos'!D31</f>
        <v>28000</v>
      </c>
      <c r="E9" s="41" t="n">
        <f aca="false">'⚙️ Supuestos'!E31</f>
        <v>35000</v>
      </c>
      <c r="F9" s="41" t="n">
        <f aca="false">'⚙️ Supuestos'!F31</f>
        <v>42000</v>
      </c>
      <c r="G9" s="41" t="n">
        <f aca="false">'⚙️ Supuestos'!G31</f>
        <v>50000</v>
      </c>
      <c r="H9" s="41" t="n">
        <f aca="false">'⚙️ Supuestos'!H31</f>
        <v>58000</v>
      </c>
      <c r="I9" s="74" t="n">
        <f aca="false">SUM(B9:H9)</f>
        <v>242000</v>
      </c>
      <c r="J9" s="3"/>
      <c r="K9" s="3"/>
      <c r="L9" s="3"/>
      <c r="M9" s="3"/>
      <c r="N9" s="3"/>
      <c r="O9" s="3"/>
      <c r="P9" s="3"/>
      <c r="Q9" s="3"/>
      <c r="R9" s="3"/>
    </row>
    <row r="10" customFormat="false" ht="24" hidden="false" customHeight="true" outlineLevel="0" collapsed="false">
      <c r="A10" s="17" t="s">
        <v>253</v>
      </c>
      <c r="B10" s="17"/>
      <c r="C10" s="17"/>
      <c r="D10" s="17"/>
      <c r="E10" s="17"/>
      <c r="F10" s="17"/>
      <c r="G10" s="17"/>
      <c r="H10" s="17"/>
      <c r="I10" s="17"/>
      <c r="J10" s="17"/>
      <c r="K10" s="3"/>
      <c r="L10" s="3"/>
      <c r="M10" s="3"/>
      <c r="N10" s="3"/>
      <c r="O10" s="3"/>
      <c r="P10" s="3"/>
      <c r="Q10" s="3"/>
      <c r="R10" s="3"/>
    </row>
    <row r="11" customFormat="false" ht="19.5" hidden="false" customHeight="true" outlineLevel="0" collapsed="false">
      <c r="A11" s="5" t="s">
        <v>254</v>
      </c>
      <c r="B11" s="5"/>
      <c r="C11" s="5"/>
      <c r="D11" s="5"/>
      <c r="E11" s="5"/>
      <c r="F11" s="5"/>
      <c r="G11" s="5"/>
      <c r="H11" s="5"/>
      <c r="I11" s="5"/>
      <c r="J11" s="5"/>
      <c r="K11" s="3"/>
      <c r="L11" s="3"/>
      <c r="M11" s="3"/>
      <c r="N11" s="3"/>
      <c r="O11" s="3"/>
      <c r="P11" s="3"/>
      <c r="Q11" s="3"/>
      <c r="R11" s="3"/>
    </row>
    <row r="12" customFormat="false" ht="19.5" hidden="false" customHeight="true" outlineLevel="0" collapsed="false">
      <c r="A12" s="12" t="s">
        <v>255</v>
      </c>
      <c r="B12" s="25" t="n">
        <v>300</v>
      </c>
      <c r="C12" s="25" t="n">
        <v>1200</v>
      </c>
      <c r="D12" s="25" t="n">
        <v>3000</v>
      </c>
      <c r="E12" s="25" t="n">
        <v>6000</v>
      </c>
      <c r="F12" s="25" t="n">
        <v>15000</v>
      </c>
      <c r="G12" s="25" t="n">
        <v>22400</v>
      </c>
      <c r="H12" s="25" t="n">
        <v>30600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customFormat="false" ht="19.5" hidden="false" customHeight="true" outlineLevel="0" collapsed="false">
      <c r="A13" s="12" t="s">
        <v>256</v>
      </c>
      <c r="B13" s="25" t="n">
        <v>500</v>
      </c>
      <c r="C13" s="25" t="n">
        <v>4400</v>
      </c>
      <c r="D13" s="25" t="n">
        <v>10000</v>
      </c>
      <c r="E13" s="25" t="n">
        <v>20000</v>
      </c>
      <c r="F13" s="25" t="n">
        <v>49500</v>
      </c>
      <c r="G13" s="25" t="n">
        <v>71500</v>
      </c>
      <c r="H13" s="25" t="n">
        <v>88000</v>
      </c>
      <c r="I13" s="3"/>
      <c r="J13" s="3"/>
      <c r="K13" s="3"/>
      <c r="L13" s="3"/>
      <c r="M13" s="3"/>
      <c r="N13" s="3"/>
      <c r="O13" s="3"/>
      <c r="P13" s="3"/>
      <c r="Q13" s="3"/>
      <c r="R13" s="3"/>
    </row>
    <row r="14" customFormat="false" ht="19.5" hidden="false" customHeight="true" outlineLevel="0" collapsed="false">
      <c r="A14" s="12" t="s">
        <v>257</v>
      </c>
      <c r="B14" s="25" t="n">
        <v>400</v>
      </c>
      <c r="C14" s="25" t="n">
        <v>2900</v>
      </c>
      <c r="D14" s="25" t="n">
        <v>9000</v>
      </c>
      <c r="E14" s="25" t="n">
        <v>14000</v>
      </c>
      <c r="F14" s="25" t="n">
        <v>33600</v>
      </c>
      <c r="G14" s="25" t="n">
        <v>48000</v>
      </c>
      <c r="H14" s="25" t="n">
        <v>64800</v>
      </c>
      <c r="I14" s="3"/>
      <c r="J14" s="3"/>
      <c r="K14" s="3"/>
      <c r="L14" s="3"/>
      <c r="M14" s="3"/>
      <c r="N14" s="3"/>
      <c r="O14" s="3"/>
      <c r="P14" s="3"/>
      <c r="Q14" s="3"/>
      <c r="R14" s="3"/>
    </row>
    <row r="15" customFormat="false" ht="21.75" hidden="false" customHeight="true" outlineLevel="0" collapsed="false">
      <c r="A15" s="6" t="s">
        <v>258</v>
      </c>
      <c r="B15" s="75" t="n">
        <f aca="false">SUM(B12:B14)</f>
        <v>1200</v>
      </c>
      <c r="C15" s="75" t="n">
        <f aca="false">SUM(C12:C14)</f>
        <v>8500</v>
      </c>
      <c r="D15" s="75" t="n">
        <f aca="false">SUM(D12:D14)</f>
        <v>22000</v>
      </c>
      <c r="E15" s="75" t="n">
        <f aca="false">SUM(E12:E14)</f>
        <v>40000</v>
      </c>
      <c r="F15" s="75" t="n">
        <f aca="false">SUM(F12:F14)</f>
        <v>98100</v>
      </c>
      <c r="G15" s="75" t="n">
        <f aca="false">SUM(G12:G14)</f>
        <v>141900</v>
      </c>
      <c r="H15" s="75" t="n">
        <f aca="false">SUM(H12:H14)</f>
        <v>183400</v>
      </c>
      <c r="I15" s="75" t="n">
        <f aca="false">SUM(B15:H15)</f>
        <v>495100</v>
      </c>
      <c r="J15" s="3"/>
      <c r="K15" s="3"/>
      <c r="L15" s="3"/>
      <c r="M15" s="3"/>
      <c r="N15" s="3"/>
      <c r="O15" s="3"/>
      <c r="P15" s="3"/>
      <c r="Q15" s="3"/>
      <c r="R15" s="3"/>
    </row>
    <row r="16" customFormat="false" ht="24" hidden="false" customHeight="true" outlineLevel="0" collapsed="false">
      <c r="A16" s="17" t="s">
        <v>259</v>
      </c>
      <c r="B16" s="17"/>
      <c r="C16" s="17"/>
      <c r="D16" s="17"/>
      <c r="E16" s="17"/>
      <c r="F16" s="17"/>
      <c r="G16" s="17"/>
      <c r="H16" s="17"/>
      <c r="I16" s="17"/>
      <c r="J16" s="17"/>
      <c r="K16" s="3"/>
      <c r="L16" s="3"/>
      <c r="M16" s="3"/>
      <c r="N16" s="3"/>
      <c r="O16" s="3"/>
      <c r="P16" s="3"/>
      <c r="Q16" s="3"/>
      <c r="R16" s="3"/>
    </row>
    <row r="17" customFormat="false" ht="19.5" hidden="false" customHeight="true" outlineLevel="0" collapsed="false">
      <c r="A17" s="5" t="s">
        <v>260</v>
      </c>
      <c r="B17" s="5"/>
      <c r="C17" s="5"/>
      <c r="D17" s="5"/>
      <c r="E17" s="5"/>
      <c r="F17" s="5"/>
      <c r="G17" s="5"/>
      <c r="H17" s="5"/>
      <c r="I17" s="5"/>
      <c r="J17" s="5"/>
      <c r="K17" s="3"/>
      <c r="L17" s="3"/>
      <c r="M17" s="3"/>
      <c r="N17" s="3"/>
      <c r="O17" s="3"/>
      <c r="P17" s="3"/>
      <c r="Q17" s="3"/>
      <c r="R17" s="3"/>
    </row>
    <row r="18" customFormat="false" ht="19.5" hidden="false" customHeight="true" outlineLevel="0" collapsed="false">
      <c r="A18" s="12" t="s">
        <v>261</v>
      </c>
      <c r="B18" s="25" t="n">
        <v>1600</v>
      </c>
      <c r="C18" s="25" t="n">
        <v>2400</v>
      </c>
      <c r="D18" s="25" t="n">
        <v>3000</v>
      </c>
      <c r="E18" s="25" t="n">
        <v>3600</v>
      </c>
      <c r="F18" s="25" t="n">
        <v>3200</v>
      </c>
      <c r="G18" s="25" t="n">
        <v>3200</v>
      </c>
      <c r="H18" s="25" t="n">
        <v>3200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customFormat="false" ht="19.5" hidden="false" customHeight="true" outlineLevel="0" collapsed="false">
      <c r="A19" s="12" t="s">
        <v>262</v>
      </c>
      <c r="B19" s="25" t="n">
        <v>2000</v>
      </c>
      <c r="C19" s="25" t="n">
        <v>6000</v>
      </c>
      <c r="D19" s="25" t="n">
        <v>10400</v>
      </c>
      <c r="E19" s="25" t="n">
        <v>14000</v>
      </c>
      <c r="F19" s="25" t="n">
        <v>18000</v>
      </c>
      <c r="G19" s="25" t="n">
        <v>21000</v>
      </c>
      <c r="H19" s="25" t="n">
        <v>24000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19.5" hidden="false" customHeight="true" outlineLevel="0" collapsed="false">
      <c r="A20" s="12" t="s">
        <v>263</v>
      </c>
      <c r="B20" s="25" t="n">
        <v>266</v>
      </c>
      <c r="C20" s="25" t="n">
        <v>833</v>
      </c>
      <c r="D20" s="25" t="n">
        <v>2400</v>
      </c>
      <c r="E20" s="25" t="n">
        <v>4500</v>
      </c>
      <c r="F20" s="25" t="n">
        <v>7200</v>
      </c>
      <c r="G20" s="25" t="n">
        <v>8400</v>
      </c>
      <c r="H20" s="25" t="n">
        <v>9600</v>
      </c>
      <c r="I20" s="3"/>
      <c r="J20" s="3"/>
      <c r="K20" s="3"/>
      <c r="L20" s="3"/>
      <c r="M20" s="3"/>
      <c r="N20" s="3"/>
      <c r="O20" s="3"/>
      <c r="P20" s="3"/>
      <c r="Q20" s="3"/>
      <c r="R20" s="3"/>
    </row>
    <row r="21" customFormat="false" ht="19.5" hidden="false" customHeight="true" outlineLevel="0" collapsed="false">
      <c r="A21" s="12" t="s">
        <v>264</v>
      </c>
      <c r="B21" s="25" t="n">
        <v>416</v>
      </c>
      <c r="C21" s="25" t="n">
        <v>1000</v>
      </c>
      <c r="D21" s="25" t="n">
        <v>2000</v>
      </c>
      <c r="E21" s="25" t="n">
        <v>5000</v>
      </c>
      <c r="F21" s="25" t="n">
        <v>8333</v>
      </c>
      <c r="G21" s="25" t="n">
        <v>12500</v>
      </c>
      <c r="H21" s="25" t="n">
        <v>18000</v>
      </c>
      <c r="I21" s="3"/>
      <c r="J21" s="3"/>
      <c r="K21" s="3"/>
      <c r="L21" s="3"/>
      <c r="M21" s="3"/>
      <c r="N21" s="3"/>
      <c r="O21" s="3"/>
      <c r="P21" s="3"/>
      <c r="Q21" s="3"/>
      <c r="R21" s="3"/>
    </row>
    <row r="22" customFormat="false" ht="19.5" hidden="false" customHeight="true" outlineLevel="0" collapsed="false">
      <c r="A22" s="12" t="s">
        <v>265</v>
      </c>
      <c r="B22" s="25" t="n">
        <v>0</v>
      </c>
      <c r="C22" s="25" t="n">
        <v>1250</v>
      </c>
      <c r="D22" s="25" t="n">
        <v>5000</v>
      </c>
      <c r="E22" s="25" t="n">
        <v>12500</v>
      </c>
      <c r="F22" s="25" t="n">
        <v>18750</v>
      </c>
      <c r="G22" s="25" t="n">
        <v>25000</v>
      </c>
      <c r="H22" s="25" t="n">
        <v>33333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customFormat="false" ht="21.75" hidden="false" customHeight="true" outlineLevel="0" collapsed="false">
      <c r="A23" s="6" t="s">
        <v>266</v>
      </c>
      <c r="B23" s="75" t="n">
        <f aca="false">SUM(B18:B22)</f>
        <v>4282</v>
      </c>
      <c r="C23" s="75" t="n">
        <f aca="false">SUM(C18:C22)</f>
        <v>11483</v>
      </c>
      <c r="D23" s="75" t="n">
        <f aca="false">SUM(D18:D22)</f>
        <v>22800</v>
      </c>
      <c r="E23" s="75" t="n">
        <f aca="false">SUM(E18:E22)</f>
        <v>39600</v>
      </c>
      <c r="F23" s="75" t="n">
        <f aca="false">SUM(F18:F22)</f>
        <v>55483</v>
      </c>
      <c r="G23" s="75" t="n">
        <f aca="false">SUM(G18:G22)</f>
        <v>70100</v>
      </c>
      <c r="H23" s="75" t="n">
        <f aca="false">SUM(H18:H22)</f>
        <v>88133</v>
      </c>
      <c r="I23" s="75" t="n">
        <f aca="false">SUM(B23:H23)</f>
        <v>291881</v>
      </c>
      <c r="J23" s="3"/>
      <c r="K23" s="3"/>
      <c r="L23" s="3"/>
      <c r="M23" s="3"/>
      <c r="N23" s="3"/>
      <c r="O23" s="3"/>
      <c r="P23" s="3"/>
      <c r="Q23" s="3"/>
      <c r="R23" s="3"/>
    </row>
    <row r="24" customFormat="false" ht="24.75" hidden="false" customHeight="true" outlineLevel="0" collapsed="false">
      <c r="A24" s="36" t="s">
        <v>267</v>
      </c>
      <c r="B24" s="35" t="n">
        <f aca="false">B9+B15+B23</f>
        <v>14482</v>
      </c>
      <c r="C24" s="35" t="n">
        <f aca="false">C9+C15+C23</f>
        <v>39983</v>
      </c>
      <c r="D24" s="35" t="n">
        <f aca="false">D9+D15+D23</f>
        <v>72800</v>
      </c>
      <c r="E24" s="35" t="n">
        <f aca="false">E9+E15+E23</f>
        <v>114600</v>
      </c>
      <c r="F24" s="35" t="n">
        <f aca="false">F9+F15+F23</f>
        <v>195583</v>
      </c>
      <c r="G24" s="35" t="n">
        <f aca="false">G9+G15+G23</f>
        <v>262000</v>
      </c>
      <c r="H24" s="35" t="n">
        <f aca="false">H9+H15+H23</f>
        <v>329533</v>
      </c>
      <c r="I24" s="35" t="n">
        <f aca="false">SUM(B24:H24)</f>
        <v>1028981</v>
      </c>
      <c r="J24" s="3" t="n">
        <f aca="false">SUM(B24:H24)</f>
        <v>1028981</v>
      </c>
      <c r="K24" s="3"/>
      <c r="L24" s="3"/>
      <c r="M24" s="3"/>
      <c r="N24" s="3"/>
      <c r="O24" s="3"/>
      <c r="P24" s="3"/>
      <c r="Q24" s="3"/>
      <c r="R24" s="3"/>
    </row>
    <row r="25" customFormat="false" ht="21.75" hidden="false" customHeight="true" outlineLevel="0" collapsed="false">
      <c r="A25" s="76" t="s">
        <v>268</v>
      </c>
      <c r="B25" s="77" t="n">
        <f aca="false">B24*'⚙️ Supuestos'!D35</f>
        <v>9413.3</v>
      </c>
      <c r="C25" s="77" t="n">
        <f aca="false">C24*'⚙️ Supuestos'!D35</f>
        <v>25988.95</v>
      </c>
      <c r="D25" s="77" t="n">
        <f aca="false">D24*'⚙️ Supuestos'!D35</f>
        <v>47320</v>
      </c>
      <c r="E25" s="77" t="n">
        <f aca="false">E24*'⚙️ Supuestos'!D35</f>
        <v>74490</v>
      </c>
      <c r="F25" s="77" t="n">
        <f aca="false">F24*'⚙️ Supuestos'!D35</f>
        <v>127128.95</v>
      </c>
      <c r="G25" s="77" t="n">
        <f aca="false">G24*'⚙️ Supuestos'!D35</f>
        <v>170300</v>
      </c>
      <c r="H25" s="77" t="n">
        <f aca="false">H24*'⚙️ Supuestos'!D35</f>
        <v>214196.45</v>
      </c>
      <c r="I25" s="3"/>
      <c r="J25" s="78" t="n">
        <f aca="false">SUM(B25:H25)</f>
        <v>668837.65</v>
      </c>
      <c r="K25" s="3"/>
      <c r="L25" s="3"/>
      <c r="M25" s="3"/>
      <c r="N25" s="3"/>
      <c r="O25" s="3"/>
      <c r="P25" s="3"/>
      <c r="Q25" s="3"/>
      <c r="R25" s="3"/>
    </row>
    <row r="26" customFormat="false" ht="21.75" hidden="false" customHeight="true" outlineLevel="0" collapsed="false">
      <c r="A26" s="79" t="s">
        <v>269</v>
      </c>
      <c r="B26" s="80" t="n">
        <f aca="false">'⚙️ Supuestos'!B46</f>
        <v>7000</v>
      </c>
      <c r="C26" s="80" t="n">
        <f aca="false">'⚙️ Supuestos'!C46</f>
        <v>14000</v>
      </c>
      <c r="D26" s="80" t="n">
        <f aca="false">'⚙️ Supuestos'!D46</f>
        <v>22000</v>
      </c>
      <c r="E26" s="80" t="n">
        <f aca="false">'⚙️ Supuestos'!E46</f>
        <v>31000</v>
      </c>
      <c r="F26" s="80" t="n">
        <f aca="false">'⚙️ Supuestos'!F46</f>
        <v>43500</v>
      </c>
      <c r="G26" s="80" t="n">
        <f aca="false">'⚙️ Supuestos'!G46</f>
        <v>53500</v>
      </c>
      <c r="H26" s="80" t="n">
        <f aca="false">'⚙️ Supuestos'!H46</f>
        <v>66000</v>
      </c>
      <c r="I26" s="3"/>
      <c r="J26" s="78" t="n">
        <f aca="false">SUM(B26:H26)</f>
        <v>237000</v>
      </c>
      <c r="K26" s="3"/>
      <c r="L26" s="3"/>
      <c r="M26" s="3"/>
      <c r="N26" s="3"/>
      <c r="O26" s="3"/>
      <c r="P26" s="3"/>
      <c r="Q26" s="3"/>
      <c r="R26" s="3"/>
    </row>
    <row r="27" customFormat="false" ht="21.75" hidden="false" customHeight="true" outlineLevel="0" collapsed="false">
      <c r="A27" s="81" t="s">
        <v>270</v>
      </c>
      <c r="B27" s="82" t="n">
        <f aca="false">B25-B26</f>
        <v>2413.3</v>
      </c>
      <c r="C27" s="82" t="n">
        <f aca="false">C25-C26</f>
        <v>11988.95</v>
      </c>
      <c r="D27" s="82" t="n">
        <f aca="false">D25-D26</f>
        <v>25320</v>
      </c>
      <c r="E27" s="82" t="n">
        <f aca="false">E25-E26</f>
        <v>43490</v>
      </c>
      <c r="F27" s="82" t="n">
        <f aca="false">F25-F26</f>
        <v>83628.95</v>
      </c>
      <c r="G27" s="82" t="n">
        <f aca="false">G25-G26</f>
        <v>116800</v>
      </c>
      <c r="H27" s="82" t="n">
        <f aca="false">H25-H26</f>
        <v>148196.45</v>
      </c>
      <c r="I27" s="3"/>
      <c r="J27" s="78" t="n">
        <f aca="false">SUM(B27:H27)</f>
        <v>431837.65</v>
      </c>
      <c r="K27" s="3"/>
      <c r="L27" s="3"/>
      <c r="M27" s="3"/>
      <c r="N27" s="3"/>
      <c r="O27" s="3"/>
      <c r="P27" s="3"/>
      <c r="Q27" s="3"/>
      <c r="R27" s="3"/>
    </row>
    <row r="28" customFormat="false" ht="21.75" hidden="false" customHeight="true" outlineLevel="0" collapsed="false">
      <c r="A28" s="83" t="s">
        <v>271</v>
      </c>
      <c r="B28" s="84" t="n">
        <f aca="false">MAX(0,B27-'⚙️ Supuestos'!D50)</f>
        <v>0</v>
      </c>
      <c r="C28" s="84" t="n">
        <f aca="false">MAX(0,C27-'⚙️ Supuestos'!D50)</f>
        <v>8988.95</v>
      </c>
      <c r="D28" s="84" t="n">
        <f aca="false">MAX(0,D27-'⚙️ Supuestos'!D50)</f>
        <v>22320</v>
      </c>
      <c r="E28" s="84" t="n">
        <f aca="false">MAX(0,E27-'⚙️ Supuestos'!D50)</f>
        <v>40490</v>
      </c>
      <c r="F28" s="84" t="n">
        <f aca="false">MAX(0,F27-'⚙️ Supuestos'!D50)</f>
        <v>80628.95</v>
      </c>
      <c r="G28" s="84" t="n">
        <f aca="false">MAX(0,G27-'⚙️ Supuestos'!D50)</f>
        <v>113800</v>
      </c>
      <c r="H28" s="84" t="n">
        <f aca="false">MAX(0,H27-'⚙️ Supuestos'!D50)</f>
        <v>145196.45</v>
      </c>
      <c r="I28" s="3"/>
      <c r="J28" s="78" t="n">
        <f aca="false">SUM(B28:H28)</f>
        <v>411424.35</v>
      </c>
      <c r="K28" s="3"/>
      <c r="L28" s="3"/>
      <c r="M28" s="3"/>
      <c r="N28" s="3"/>
      <c r="O28" s="3"/>
      <c r="P28" s="3"/>
      <c r="Q28" s="3"/>
      <c r="R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</sheetData>
  <mergeCells count="8">
    <mergeCell ref="A1:J1"/>
    <mergeCell ref="A2:J4"/>
    <mergeCell ref="A7:J7"/>
    <mergeCell ref="A8:J8"/>
    <mergeCell ref="A10:J10"/>
    <mergeCell ref="A11:J11"/>
    <mergeCell ref="A16:J16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9" min="3" style="1" width="11"/>
    <col collapsed="false" customWidth="true" hidden="false" outlineLevel="0" max="11" min="10" style="1" width="10"/>
    <col collapsed="false" customWidth="true" hidden="false" outlineLevel="0" max="12" min="12" style="1" width="34"/>
  </cols>
  <sheetData>
    <row r="1" customFormat="false" ht="31.5" hidden="false" customHeight="true" outlineLevel="0" collapsed="false">
      <c r="A1" s="23" t="s">
        <v>272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3"/>
      <c r="N1" s="3"/>
      <c r="O1" s="3"/>
      <c r="P1" s="3"/>
      <c r="Q1" s="3"/>
      <c r="R1" s="3"/>
    </row>
    <row r="2" customFormat="false" ht="21.75" hidden="false" customHeight="true" outlineLevel="0" collapsed="false">
      <c r="A2" s="5" t="s">
        <v>273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  <c r="N2" s="3"/>
      <c r="O2" s="3"/>
      <c r="P2" s="3"/>
      <c r="Q2" s="3"/>
      <c r="R2" s="3"/>
    </row>
    <row r="3" customFormat="false" ht="21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  <c r="N3" s="3"/>
      <c r="O3" s="3"/>
      <c r="P3" s="3"/>
      <c r="Q3" s="3"/>
      <c r="R3" s="3"/>
    </row>
    <row r="4" customFormat="false" ht="21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3"/>
      <c r="N4" s="3"/>
      <c r="O4" s="3"/>
      <c r="P4" s="3"/>
      <c r="Q4" s="3"/>
      <c r="R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30" hidden="false" customHeight="true" outlineLevel="0" collapsed="false">
      <c r="A6" s="36" t="s">
        <v>50</v>
      </c>
      <c r="B6" s="24" t="s">
        <v>274</v>
      </c>
      <c r="C6" s="36" t="s">
        <v>79</v>
      </c>
      <c r="D6" s="36" t="s">
        <v>80</v>
      </c>
      <c r="E6" s="36" t="s">
        <v>81</v>
      </c>
      <c r="F6" s="36" t="s">
        <v>82</v>
      </c>
      <c r="G6" s="36" t="s">
        <v>83</v>
      </c>
      <c r="H6" s="36" t="s">
        <v>84</v>
      </c>
      <c r="I6" s="36" t="s">
        <v>85</v>
      </c>
      <c r="J6" s="36" t="s">
        <v>275</v>
      </c>
      <c r="K6" s="36" t="s">
        <v>276</v>
      </c>
      <c r="L6" s="36" t="s">
        <v>113</v>
      </c>
      <c r="M6" s="3"/>
      <c r="N6" s="3"/>
      <c r="O6" s="3"/>
      <c r="P6" s="3"/>
      <c r="Q6" s="3"/>
      <c r="R6" s="3"/>
    </row>
    <row r="7" customFormat="false" ht="21.75" hidden="false" customHeight="true" outlineLevel="0" collapsed="false">
      <c r="A7" s="20" t="s">
        <v>58</v>
      </c>
      <c r="B7" s="41" t="n">
        <f aca="false">'⚙️ Supuestos'!B9</f>
        <v>30000</v>
      </c>
      <c r="C7" s="41" t="str">
        <f aca="false">'⚙️ Supuestos'!B41</f>
        <v>—</v>
      </c>
      <c r="D7" s="41" t="n">
        <f aca="false">'⚙️ Supuestos'!C41</f>
        <v>2000</v>
      </c>
      <c r="E7" s="41" t="n">
        <f aca="false">'⚙️ Supuestos'!D41</f>
        <v>5000</v>
      </c>
      <c r="F7" s="41" t="n">
        <f aca="false">'⚙️ Supuestos'!E41</f>
        <v>9000</v>
      </c>
      <c r="G7" s="41" t="n">
        <f aca="false">'⚙️ Supuestos'!F41</f>
        <v>14000</v>
      </c>
      <c r="H7" s="41" t="n">
        <f aca="false">'⚙️ Supuestos'!G41</f>
        <v>20000</v>
      </c>
      <c r="I7" s="41" t="n">
        <f aca="false">'⚙️ Supuestos'!H41</f>
        <v>30000</v>
      </c>
      <c r="J7" s="85" t="s">
        <v>85</v>
      </c>
      <c r="K7" s="86" t="s">
        <v>277</v>
      </c>
      <c r="L7" s="33" t="s">
        <v>278</v>
      </c>
      <c r="M7" s="3"/>
      <c r="N7" s="3"/>
      <c r="O7" s="3"/>
      <c r="P7" s="3"/>
      <c r="Q7" s="3"/>
      <c r="R7" s="3"/>
    </row>
    <row r="8" customFormat="false" ht="21.75" hidden="false" customHeight="true" outlineLevel="0" collapsed="false">
      <c r="A8" s="20" t="s">
        <v>59</v>
      </c>
      <c r="B8" s="41" t="n">
        <f aca="false">'⚙️ Supuestos'!B10</f>
        <v>7000</v>
      </c>
      <c r="C8" s="41" t="str">
        <f aca="false">'⚙️ Supuestos'!B42</f>
        <v>—</v>
      </c>
      <c r="D8" s="41" t="n">
        <f aca="false">'⚙️ Supuestos'!C42</f>
        <v>1000</v>
      </c>
      <c r="E8" s="41" t="n">
        <f aca="false">'⚙️ Supuestos'!D42</f>
        <v>2500</v>
      </c>
      <c r="F8" s="41" t="n">
        <f aca="false">'⚙️ Supuestos'!E42</f>
        <v>4000</v>
      </c>
      <c r="G8" s="41" t="n">
        <f aca="false">'⚙️ Supuestos'!F42</f>
        <v>7500</v>
      </c>
      <c r="H8" s="41" t="n">
        <f aca="false">'⚙️ Supuestos'!G42</f>
        <v>9000</v>
      </c>
      <c r="I8" s="41" t="n">
        <f aca="false">'⚙️ Supuestos'!H42</f>
        <v>10000</v>
      </c>
      <c r="J8" s="85" t="s">
        <v>83</v>
      </c>
      <c r="K8" s="86" t="s">
        <v>279</v>
      </c>
      <c r="L8" s="33" t="s">
        <v>280</v>
      </c>
      <c r="M8" s="3"/>
      <c r="N8" s="3"/>
      <c r="O8" s="3"/>
      <c r="P8" s="3"/>
      <c r="Q8" s="3"/>
      <c r="R8" s="3"/>
    </row>
    <row r="9" customFormat="false" ht="21.75" hidden="false" customHeight="true" outlineLevel="0" collapsed="false">
      <c r="A9" s="20" t="s">
        <v>60</v>
      </c>
      <c r="B9" s="41" t="n">
        <f aca="false">'⚙️ Supuestos'!B11</f>
        <v>6500</v>
      </c>
      <c r="C9" s="41" t="str">
        <f aca="false">'⚙️ Supuestos'!B43</f>
        <v>—</v>
      </c>
      <c r="D9" s="41" t="n">
        <f aca="false">'⚙️ Supuestos'!C43</f>
        <v>1000</v>
      </c>
      <c r="E9" s="41" t="n">
        <f aca="false">'⚙️ Supuestos'!D43</f>
        <v>2500</v>
      </c>
      <c r="F9" s="41" t="n">
        <f aca="false">'⚙️ Supuestos'!E43</f>
        <v>4000</v>
      </c>
      <c r="G9" s="41" t="n">
        <f aca="false">'⚙️ Supuestos'!F43</f>
        <v>7000</v>
      </c>
      <c r="H9" s="41" t="n">
        <f aca="false">'⚙️ Supuestos'!G43</f>
        <v>8500</v>
      </c>
      <c r="I9" s="41" t="n">
        <f aca="false">'⚙️ Supuestos'!H43</f>
        <v>10000</v>
      </c>
      <c r="J9" s="85" t="s">
        <v>83</v>
      </c>
      <c r="K9" s="86" t="s">
        <v>279</v>
      </c>
      <c r="L9" s="33" t="s">
        <v>280</v>
      </c>
      <c r="M9" s="3"/>
      <c r="N9" s="3"/>
      <c r="O9" s="3"/>
      <c r="P9" s="3"/>
      <c r="Q9" s="3"/>
      <c r="R9" s="3"/>
    </row>
    <row r="10" customFormat="false" ht="21.75" hidden="false" customHeight="true" outlineLevel="0" collapsed="false">
      <c r="A10" s="20" t="s">
        <v>61</v>
      </c>
      <c r="B10" s="41" t="n">
        <f aca="false">'⚙️ Supuestos'!B12</f>
        <v>5000</v>
      </c>
      <c r="C10" s="41" t="n">
        <f aca="false">'⚙️ Supuestos'!B44</f>
        <v>5000</v>
      </c>
      <c r="D10" s="41" t="n">
        <f aca="false">'⚙️ Supuestos'!C44</f>
        <v>6000</v>
      </c>
      <c r="E10" s="41" t="n">
        <f aca="false">'⚙️ Supuestos'!D44</f>
        <v>7000</v>
      </c>
      <c r="F10" s="41" t="n">
        <f aca="false">'⚙️ Supuestos'!E44</f>
        <v>8000</v>
      </c>
      <c r="G10" s="41" t="n">
        <f aca="false">'⚙️ Supuestos'!F44</f>
        <v>9000</v>
      </c>
      <c r="H10" s="41" t="n">
        <f aca="false">'⚙️ Supuestos'!G44</f>
        <v>10000</v>
      </c>
      <c r="I10" s="41" t="n">
        <f aca="false">'⚙️ Supuestos'!H44</f>
        <v>10000</v>
      </c>
      <c r="J10" s="85" t="s">
        <v>281</v>
      </c>
      <c r="K10" s="86" t="s">
        <v>279</v>
      </c>
      <c r="L10" s="33" t="s">
        <v>282</v>
      </c>
      <c r="M10" s="3"/>
      <c r="N10" s="3"/>
      <c r="O10" s="3"/>
      <c r="P10" s="3"/>
      <c r="Q10" s="3"/>
      <c r="R10" s="3"/>
    </row>
    <row r="11" customFormat="false" ht="21.75" hidden="false" customHeight="true" outlineLevel="0" collapsed="false">
      <c r="A11" s="20" t="s">
        <v>63</v>
      </c>
      <c r="B11" s="41" t="n">
        <f aca="false">'⚙️ Supuestos'!B13</f>
        <v>2000</v>
      </c>
      <c r="C11" s="41" t="n">
        <f aca="false">'⚙️ Supuestos'!B45</f>
        <v>2000</v>
      </c>
      <c r="D11" s="41" t="n">
        <f aca="false">'⚙️ Supuestos'!C45</f>
        <v>4000</v>
      </c>
      <c r="E11" s="41" t="n">
        <f aca="false">'⚙️ Supuestos'!D45</f>
        <v>5000</v>
      </c>
      <c r="F11" s="41" t="n">
        <f aca="false">'⚙️ Supuestos'!E45</f>
        <v>6000</v>
      </c>
      <c r="G11" s="41" t="n">
        <f aca="false">'⚙️ Supuestos'!F45</f>
        <v>6000</v>
      </c>
      <c r="H11" s="41" t="n">
        <f aca="false">'⚙️ Supuestos'!G45</f>
        <v>6000</v>
      </c>
      <c r="I11" s="41" t="n">
        <f aca="false">'⚙️ Supuestos'!H45</f>
        <v>6000</v>
      </c>
      <c r="J11" s="85" t="s">
        <v>281</v>
      </c>
      <c r="K11" s="86" t="s">
        <v>283</v>
      </c>
      <c r="L11" s="33" t="s">
        <v>282</v>
      </c>
      <c r="M11" s="3"/>
      <c r="N11" s="3"/>
      <c r="O11" s="3"/>
      <c r="P11" s="3"/>
      <c r="Q11" s="3"/>
      <c r="R11" s="3"/>
    </row>
    <row r="12" customFormat="false" ht="21.75" hidden="false" customHeight="true" outlineLevel="0" collapsed="false">
      <c r="A12" s="36" t="s">
        <v>94</v>
      </c>
      <c r="B12" s="36"/>
      <c r="C12" s="35" t="n">
        <f aca="false">SUM(C7:C11)</f>
        <v>7000</v>
      </c>
      <c r="D12" s="35" t="n">
        <f aca="false">SUM(D7:D11)</f>
        <v>14000</v>
      </c>
      <c r="E12" s="35" t="n">
        <f aca="false">SUM(E7:E11)</f>
        <v>22000</v>
      </c>
      <c r="F12" s="35" t="n">
        <f aca="false">SUM(F7:F11)</f>
        <v>31000</v>
      </c>
      <c r="G12" s="35" t="n">
        <f aca="false">SUM(G7:G11)</f>
        <v>43500</v>
      </c>
      <c r="H12" s="35" t="n">
        <f aca="false">SUM(H7:H11)</f>
        <v>53500</v>
      </c>
      <c r="I12" s="35" t="n">
        <f aca="false">SUM(I7:I11)</f>
        <v>66000</v>
      </c>
      <c r="J12" s="3"/>
      <c r="K12" s="3"/>
      <c r="L12" s="3"/>
      <c r="M12" s="3"/>
      <c r="N12" s="3"/>
      <c r="O12" s="3"/>
      <c r="P12" s="3"/>
      <c r="Q12" s="3"/>
      <c r="R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customFormat="false" ht="24.75" hidden="false" customHeight="true" outlineLevel="0" collapsed="false">
      <c r="A14" s="5" t="s">
        <v>284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3"/>
      <c r="N14" s="3"/>
      <c r="O14" s="3"/>
      <c r="P14" s="3"/>
      <c r="Q14" s="3"/>
      <c r="R14" s="3"/>
    </row>
    <row r="15" customFormat="false" ht="24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3"/>
      <c r="N15" s="3"/>
      <c r="O15" s="3"/>
      <c r="P15" s="3"/>
      <c r="Q15" s="3"/>
      <c r="R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</sheetData>
  <mergeCells count="4">
    <mergeCell ref="A1:L1"/>
    <mergeCell ref="A2:L4"/>
    <mergeCell ref="A12:B12"/>
    <mergeCell ref="A14:L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1"/>
    <col collapsed="false" customWidth="true" hidden="false" outlineLevel="0" max="9" min="3" style="1" width="12"/>
    <col collapsed="false" customWidth="true" hidden="false" outlineLevel="0" max="10" min="10" style="1" width="16"/>
    <col collapsed="false" customWidth="true" hidden="false" outlineLevel="0" max="11" min="11" style="1" width="14"/>
  </cols>
  <sheetData>
    <row r="1" customFormat="false" ht="31.5" hidden="false" customHeight="true" outlineLevel="0" collapsed="false">
      <c r="A1" s="23" t="s">
        <v>285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3"/>
      <c r="M1" s="3"/>
      <c r="N1" s="3"/>
      <c r="O1" s="3"/>
      <c r="P1" s="3"/>
      <c r="Q1" s="3"/>
      <c r="R1" s="3"/>
    </row>
    <row r="2" customFormat="false" ht="21.75" hidden="false" customHeight="true" outlineLevel="0" collapsed="false">
      <c r="A2" s="5" t="s">
        <v>286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</row>
    <row r="3" customFormat="false" ht="21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3"/>
      <c r="M3" s="3"/>
      <c r="N3" s="3"/>
      <c r="O3" s="3"/>
      <c r="P3" s="3"/>
      <c r="Q3" s="3"/>
      <c r="R3" s="3"/>
    </row>
    <row r="4" customFormat="false" ht="21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</row>
    <row r="5" customFormat="false" ht="21.7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3"/>
      <c r="M5" s="3"/>
      <c r="N5" s="3"/>
      <c r="O5" s="3"/>
      <c r="P5" s="3"/>
      <c r="Q5" s="3"/>
      <c r="R5" s="3"/>
    </row>
    <row r="6" customFormat="false" ht="1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customFormat="false" ht="30" hidden="false" customHeight="true" outlineLevel="0" collapsed="false">
      <c r="A7" s="36" t="s">
        <v>50</v>
      </c>
      <c r="B7" s="36" t="s">
        <v>287</v>
      </c>
      <c r="C7" s="36" t="s">
        <v>79</v>
      </c>
      <c r="D7" s="36" t="s">
        <v>80</v>
      </c>
      <c r="E7" s="36" t="s">
        <v>81</v>
      </c>
      <c r="F7" s="36" t="s">
        <v>82</v>
      </c>
      <c r="G7" s="36" t="s">
        <v>83</v>
      </c>
      <c r="H7" s="36" t="s">
        <v>84</v>
      </c>
      <c r="I7" s="36" t="s">
        <v>85</v>
      </c>
      <c r="J7" s="24" t="s">
        <v>288</v>
      </c>
      <c r="K7" s="24" t="s">
        <v>289</v>
      </c>
      <c r="L7" s="3"/>
      <c r="M7" s="3"/>
      <c r="N7" s="3"/>
      <c r="O7" s="3"/>
      <c r="P7" s="3"/>
      <c r="Q7" s="3"/>
      <c r="R7" s="3"/>
    </row>
    <row r="8" customFormat="false" ht="21.75" hidden="false" customHeight="true" outlineLevel="0" collapsed="false">
      <c r="A8" s="20" t="s">
        <v>58</v>
      </c>
      <c r="B8" s="62" t="n">
        <f aca="false">'⚙️ Supuestos'!G9</f>
        <v>0.63</v>
      </c>
      <c r="C8" s="87" t="n">
        <f aca="false">MAX(0,'7️⃣ Facturación'!B28*'⚙️ Supuestos'!G9)</f>
        <v>0</v>
      </c>
      <c r="D8" s="87" t="n">
        <f aca="false">MAX(0,'7️⃣ Facturación'!C28*'⚙️ Supuestos'!G9)</f>
        <v>5663.0385</v>
      </c>
      <c r="E8" s="87" t="n">
        <f aca="false">MAX(0,'7️⃣ Facturación'!D28*'⚙️ Supuestos'!G9)</f>
        <v>14061.6</v>
      </c>
      <c r="F8" s="87" t="n">
        <f aca="false">MAX(0,'7️⃣ Facturación'!E28*'⚙️ Supuestos'!G9)</f>
        <v>25508.7</v>
      </c>
      <c r="G8" s="77" t="n">
        <f aca="false">MAX(0,'7️⃣ Facturación'!F28*'⚙️ Supuestos'!G9)</f>
        <v>50796.2385</v>
      </c>
      <c r="H8" s="77" t="n">
        <f aca="false">MAX(0,'7️⃣ Facturación'!G28*'⚙️ Supuestos'!G9)</f>
        <v>71694</v>
      </c>
      <c r="I8" s="77" t="n">
        <f aca="false">MAX(0,'7️⃣ Facturación'!H28*'⚙️ Supuestos'!G9)</f>
        <v>91473.7635</v>
      </c>
      <c r="J8" s="88" t="n">
        <f aca="false">SUM(C8:I8)*12</f>
        <v>3110368.086</v>
      </c>
      <c r="K8" s="32" t="n">
        <f aca="false">AVERAGE(D8:I8)</f>
        <v>43199.55675</v>
      </c>
      <c r="L8" s="3"/>
      <c r="M8" s="3"/>
      <c r="N8" s="3"/>
      <c r="O8" s="3"/>
      <c r="P8" s="3"/>
      <c r="Q8" s="3"/>
      <c r="R8" s="3"/>
    </row>
    <row r="9" customFormat="false" ht="21.75" hidden="false" customHeight="true" outlineLevel="0" collapsed="false">
      <c r="A9" s="20" t="s">
        <v>59</v>
      </c>
      <c r="B9" s="62" t="n">
        <f aca="false">'⚙️ Supuestos'!G10</f>
        <v>0.17</v>
      </c>
      <c r="C9" s="87" t="n">
        <f aca="false">MAX(0,'7️⃣ Facturación'!B28*'⚙️ Supuestos'!G10)</f>
        <v>0</v>
      </c>
      <c r="D9" s="87" t="n">
        <f aca="false">MAX(0,'7️⃣ Facturación'!C28*'⚙️ Supuestos'!G10)</f>
        <v>1528.1215</v>
      </c>
      <c r="E9" s="87" t="n">
        <f aca="false">MAX(0,'7️⃣ Facturación'!D28*'⚙️ Supuestos'!G10)</f>
        <v>3794.4</v>
      </c>
      <c r="F9" s="87" t="n">
        <f aca="false">MAX(0,'7️⃣ Facturación'!E28*'⚙️ Supuestos'!G10)</f>
        <v>6883.3</v>
      </c>
      <c r="G9" s="77" t="n">
        <f aca="false">MAX(0,'7️⃣ Facturación'!F28*'⚙️ Supuestos'!G10)</f>
        <v>13706.9215</v>
      </c>
      <c r="H9" s="77" t="n">
        <f aca="false">MAX(0,'7️⃣ Facturación'!G28*'⚙️ Supuestos'!G10)</f>
        <v>19346</v>
      </c>
      <c r="I9" s="77" t="n">
        <f aca="false">MAX(0,'7️⃣ Facturación'!H28*'⚙️ Supuestos'!G10)</f>
        <v>24683.3965</v>
      </c>
      <c r="J9" s="88" t="n">
        <f aca="false">SUM(C9:I9)*12</f>
        <v>839305.674</v>
      </c>
      <c r="K9" s="32" t="n">
        <f aca="false">AVERAGE(D9:I9)</f>
        <v>11657.02325</v>
      </c>
      <c r="L9" s="3"/>
      <c r="M9" s="3"/>
      <c r="N9" s="3"/>
      <c r="O9" s="3"/>
      <c r="P9" s="3"/>
      <c r="Q9" s="3"/>
      <c r="R9" s="3"/>
    </row>
    <row r="10" customFormat="false" ht="21.75" hidden="false" customHeight="true" outlineLevel="0" collapsed="false">
      <c r="A10" s="20" t="s">
        <v>60</v>
      </c>
      <c r="B10" s="62" t="n">
        <f aca="false">'⚙️ Supuestos'!G11</f>
        <v>0.11</v>
      </c>
      <c r="C10" s="87" t="n">
        <f aca="false">MAX(0,'7️⃣ Facturación'!B28*'⚙️ Supuestos'!G11)</f>
        <v>0</v>
      </c>
      <c r="D10" s="87" t="n">
        <f aca="false">MAX(0,'7️⃣ Facturación'!C28*'⚙️ Supuestos'!G11)</f>
        <v>988.7845</v>
      </c>
      <c r="E10" s="87" t="n">
        <f aca="false">MAX(0,'7️⃣ Facturación'!D28*'⚙️ Supuestos'!G11)</f>
        <v>2455.2</v>
      </c>
      <c r="F10" s="87" t="n">
        <f aca="false">MAX(0,'7️⃣ Facturación'!E28*'⚙️ Supuestos'!G11)</f>
        <v>4453.9</v>
      </c>
      <c r="G10" s="77" t="n">
        <f aca="false">MAX(0,'7️⃣ Facturación'!F28*'⚙️ Supuestos'!G11)</f>
        <v>8869.1845</v>
      </c>
      <c r="H10" s="77" t="n">
        <f aca="false">MAX(0,'7️⃣ Facturación'!G28*'⚙️ Supuestos'!G11)</f>
        <v>12518</v>
      </c>
      <c r="I10" s="77" t="n">
        <f aca="false">MAX(0,'7️⃣ Facturación'!H28*'⚙️ Supuestos'!G11)</f>
        <v>15971.6095</v>
      </c>
      <c r="J10" s="88" t="n">
        <f aca="false">SUM(C10:I10)*12</f>
        <v>543080.142</v>
      </c>
      <c r="K10" s="32" t="n">
        <f aca="false">AVERAGE(D10:I10)</f>
        <v>7542.77975</v>
      </c>
      <c r="L10" s="3"/>
      <c r="M10" s="3"/>
      <c r="N10" s="3"/>
      <c r="O10" s="3"/>
      <c r="P10" s="3"/>
      <c r="Q10" s="3"/>
      <c r="R10" s="3"/>
    </row>
    <row r="11" customFormat="false" ht="21.75" hidden="false" customHeight="true" outlineLevel="0" collapsed="false">
      <c r="A11" s="20" t="s">
        <v>61</v>
      </c>
      <c r="B11" s="62" t="n">
        <f aca="false">'⚙️ Supuestos'!G12</f>
        <v>0.06</v>
      </c>
      <c r="C11" s="87" t="n">
        <f aca="false">MAX(0,'7️⃣ Facturación'!B28*'⚙️ Supuestos'!G12)</f>
        <v>0</v>
      </c>
      <c r="D11" s="87" t="n">
        <f aca="false">MAX(0,'7️⃣ Facturación'!C28*'⚙️ Supuestos'!G12)</f>
        <v>539.337</v>
      </c>
      <c r="E11" s="87" t="n">
        <f aca="false">MAX(0,'7️⃣ Facturación'!D28*'⚙️ Supuestos'!G12)</f>
        <v>1339.2</v>
      </c>
      <c r="F11" s="87" t="n">
        <f aca="false">MAX(0,'7️⃣ Facturación'!E28*'⚙️ Supuestos'!G12)</f>
        <v>2429.4</v>
      </c>
      <c r="G11" s="77" t="n">
        <f aca="false">MAX(0,'7️⃣ Facturación'!F28*'⚙️ Supuestos'!G12)</f>
        <v>4837.737</v>
      </c>
      <c r="H11" s="77" t="n">
        <f aca="false">MAX(0,'7️⃣ Facturación'!G28*'⚙️ Supuestos'!G12)</f>
        <v>6828</v>
      </c>
      <c r="I11" s="77" t="n">
        <f aca="false">MAX(0,'7️⃣ Facturación'!H28*'⚙️ Supuestos'!G12)</f>
        <v>8711.787</v>
      </c>
      <c r="J11" s="88" t="n">
        <f aca="false">SUM(C11:I11)*12</f>
        <v>296225.532</v>
      </c>
      <c r="K11" s="32" t="n">
        <f aca="false">AVERAGE(D11:I11)</f>
        <v>4114.2435</v>
      </c>
      <c r="L11" s="3"/>
      <c r="M11" s="3"/>
      <c r="N11" s="3"/>
      <c r="O11" s="3"/>
      <c r="P11" s="3"/>
      <c r="Q11" s="3"/>
      <c r="R11" s="3"/>
    </row>
    <row r="12" customFormat="false" ht="21.75" hidden="false" customHeight="true" outlineLevel="0" collapsed="false">
      <c r="A12" s="20" t="s">
        <v>63</v>
      </c>
      <c r="B12" s="62" t="n">
        <f aca="false">'⚙️ Supuestos'!G13</f>
        <v>0.03</v>
      </c>
      <c r="C12" s="87" t="n">
        <f aca="false">MAX(0,'7️⃣ Facturación'!B28*'⚙️ Supuestos'!G13)</f>
        <v>0</v>
      </c>
      <c r="D12" s="87" t="n">
        <f aca="false">MAX(0,'7️⃣ Facturación'!C28*'⚙️ Supuestos'!G13)</f>
        <v>269.6685</v>
      </c>
      <c r="E12" s="87" t="n">
        <f aca="false">MAX(0,'7️⃣ Facturación'!D28*'⚙️ Supuestos'!G13)</f>
        <v>669.6</v>
      </c>
      <c r="F12" s="87" t="n">
        <f aca="false">MAX(0,'7️⃣ Facturación'!E28*'⚙️ Supuestos'!G13)</f>
        <v>1214.7</v>
      </c>
      <c r="G12" s="77" t="n">
        <f aca="false">MAX(0,'7️⃣ Facturación'!F28*'⚙️ Supuestos'!G13)</f>
        <v>2418.8685</v>
      </c>
      <c r="H12" s="77" t="n">
        <f aca="false">MAX(0,'7️⃣ Facturación'!G28*'⚙️ Supuestos'!G13)</f>
        <v>3414</v>
      </c>
      <c r="I12" s="77" t="n">
        <f aca="false">MAX(0,'7️⃣ Facturación'!H28*'⚙️ Supuestos'!G13)</f>
        <v>4355.8935</v>
      </c>
      <c r="J12" s="88" t="n">
        <f aca="false">SUM(C12:I12)*12</f>
        <v>148112.766</v>
      </c>
      <c r="K12" s="32" t="n">
        <f aca="false">AVERAGE(D12:I12)</f>
        <v>2057.12175</v>
      </c>
      <c r="L12" s="3"/>
      <c r="M12" s="3"/>
      <c r="N12" s="3"/>
      <c r="O12" s="3"/>
      <c r="P12" s="3"/>
      <c r="Q12" s="3"/>
      <c r="R12" s="3"/>
    </row>
    <row r="13" customFormat="false" ht="21.75" hidden="false" customHeight="true" outlineLevel="0" collapsed="false">
      <c r="A13" s="36" t="s">
        <v>290</v>
      </c>
      <c r="B13" s="36"/>
      <c r="C13" s="35" t="n">
        <f aca="false">'7️⃣ Facturación'!B28</f>
        <v>0</v>
      </c>
      <c r="D13" s="35" t="n">
        <f aca="false">'7️⃣ Facturación'!C28</f>
        <v>8988.95</v>
      </c>
      <c r="E13" s="35" t="n">
        <f aca="false">'7️⃣ Facturación'!D28</f>
        <v>22320</v>
      </c>
      <c r="F13" s="35" t="n">
        <f aca="false">'7️⃣ Facturación'!E28</f>
        <v>40490</v>
      </c>
      <c r="G13" s="35" t="n">
        <f aca="false">'7️⃣ Facturación'!F28</f>
        <v>80628.95</v>
      </c>
      <c r="H13" s="35" t="n">
        <f aca="false">'7️⃣ Facturación'!G28</f>
        <v>113800</v>
      </c>
      <c r="I13" s="35" t="n">
        <f aca="false">'7️⃣ Facturación'!H28</f>
        <v>145196.45</v>
      </c>
      <c r="J13" s="3"/>
      <c r="K13" s="3"/>
      <c r="L13" s="3"/>
      <c r="M13" s="3"/>
      <c r="N13" s="3"/>
      <c r="O13" s="3"/>
      <c r="P13" s="3"/>
      <c r="Q13" s="3"/>
      <c r="R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customFormat="false" ht="24.75" hidden="false" customHeight="true" outlineLevel="0" collapsed="false">
      <c r="A15" s="5" t="s">
        <v>291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3"/>
      <c r="M15" s="3"/>
      <c r="N15" s="3"/>
      <c r="O15" s="3"/>
      <c r="P15" s="3"/>
      <c r="Q15" s="3"/>
      <c r="R15" s="3"/>
    </row>
    <row r="16" customFormat="false" ht="24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</sheetData>
  <mergeCells count="4">
    <mergeCell ref="A1:K1"/>
    <mergeCell ref="A2:K5"/>
    <mergeCell ref="A13:B13"/>
    <mergeCell ref="A15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1"/>
    <col collapsed="false" customWidth="true" hidden="false" outlineLevel="0" max="9" min="3" style="1" width="12"/>
    <col collapsed="false" customWidth="true" hidden="false" outlineLevel="0" max="11" min="10" style="1" width="14"/>
  </cols>
  <sheetData>
    <row r="1" customFormat="false" ht="31.5" hidden="false" customHeight="true" outlineLevel="0" collapsed="false">
      <c r="A1" s="23" t="s">
        <v>292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3"/>
      <c r="M1" s="3"/>
      <c r="N1" s="3"/>
      <c r="O1" s="3"/>
      <c r="P1" s="3"/>
      <c r="Q1" s="3"/>
      <c r="R1" s="3"/>
    </row>
    <row r="2" customFormat="false" ht="21.75" hidden="false" customHeight="true" outlineLevel="0" collapsed="false">
      <c r="A2" s="5" t="s">
        <v>293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</row>
    <row r="3" customFormat="false" ht="21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3"/>
      <c r="M3" s="3"/>
      <c r="N3" s="3"/>
      <c r="O3" s="3"/>
      <c r="P3" s="3"/>
      <c r="Q3" s="3"/>
      <c r="R3" s="3"/>
    </row>
    <row r="4" customFormat="false" ht="21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30" hidden="false" customHeight="true" outlineLevel="0" collapsed="false">
      <c r="A6" s="36" t="s">
        <v>50</v>
      </c>
      <c r="B6" s="36" t="s">
        <v>287</v>
      </c>
      <c r="C6" s="36" t="s">
        <v>79</v>
      </c>
      <c r="D6" s="36" t="s">
        <v>80</v>
      </c>
      <c r="E6" s="36" t="s">
        <v>81</v>
      </c>
      <c r="F6" s="36" t="s">
        <v>82</v>
      </c>
      <c r="G6" s="36" t="s">
        <v>83</v>
      </c>
      <c r="H6" s="36" t="s">
        <v>84</v>
      </c>
      <c r="I6" s="36" t="s">
        <v>85</v>
      </c>
      <c r="J6" s="36" t="s">
        <v>294</v>
      </c>
      <c r="K6" s="24" t="s">
        <v>295</v>
      </c>
      <c r="L6" s="3"/>
      <c r="M6" s="3"/>
      <c r="N6" s="3"/>
      <c r="O6" s="3"/>
      <c r="P6" s="3"/>
      <c r="Q6" s="3"/>
      <c r="R6" s="3"/>
    </row>
    <row r="7" customFormat="false" ht="21.75" hidden="false" customHeight="true" outlineLevel="0" collapsed="false">
      <c r="A7" s="20" t="s">
        <v>58</v>
      </c>
      <c r="B7" s="62" t="n">
        <f aca="false">'⚙️ Supuestos'!G9</f>
        <v>0.63</v>
      </c>
      <c r="C7" s="87" t="n">
        <f aca="false">IFERROR(VALUE('⚙️ Supuestos'!B41),0)+'9️⃣ Equity Anual'!C8</f>
        <v>0</v>
      </c>
      <c r="D7" s="87" t="n">
        <f aca="false">IFERROR(VALUE('⚙️ Supuestos'!C41),0)+'9️⃣ Equity Anual'!D8</f>
        <v>7663.0385</v>
      </c>
      <c r="E7" s="87" t="n">
        <f aca="false">IFERROR(VALUE('⚙️ Supuestos'!D41),0)+'9️⃣ Equity Anual'!E8</f>
        <v>19061.6</v>
      </c>
      <c r="F7" s="87" t="n">
        <f aca="false">IFERROR(VALUE('⚙️ Supuestos'!E41),0)+'9️⃣ Equity Anual'!F8</f>
        <v>34508.7</v>
      </c>
      <c r="G7" s="87" t="n">
        <f aca="false">IFERROR(VALUE('⚙️ Supuestos'!F41),0)+'9️⃣ Equity Anual'!G8</f>
        <v>64796.2385</v>
      </c>
      <c r="H7" s="87" t="n">
        <f aca="false">IFERROR(VALUE('⚙️ Supuestos'!G41),0)+'9️⃣ Equity Anual'!H8</f>
        <v>91694</v>
      </c>
      <c r="I7" s="89" t="n">
        <f aca="false">IFERROR(VALUE('⚙️ Supuestos'!H41),0)+'9️⃣ Equity Anual'!I8</f>
        <v>121473.7635</v>
      </c>
      <c r="J7" s="88" t="n">
        <f aca="false">SUM(C7:I7)*12</f>
        <v>4070368.086</v>
      </c>
      <c r="K7" s="90" t="n">
        <f aca="false">I7</f>
        <v>121473.7635</v>
      </c>
      <c r="L7" s="3"/>
      <c r="M7" s="3"/>
      <c r="N7" s="3"/>
      <c r="O7" s="3"/>
      <c r="P7" s="3"/>
      <c r="Q7" s="3"/>
      <c r="R7" s="3"/>
    </row>
    <row r="8" customFormat="false" ht="21.75" hidden="false" customHeight="true" outlineLevel="0" collapsed="false">
      <c r="A8" s="20" t="s">
        <v>59</v>
      </c>
      <c r="B8" s="62" t="n">
        <f aca="false">'⚙️ Supuestos'!G10</f>
        <v>0.17</v>
      </c>
      <c r="C8" s="87" t="n">
        <f aca="false">IFERROR(VALUE('⚙️ Supuestos'!B42),0)+'9️⃣ Equity Anual'!C9</f>
        <v>0</v>
      </c>
      <c r="D8" s="87" t="n">
        <f aca="false">IFERROR(VALUE('⚙️ Supuestos'!C42),0)+'9️⃣ Equity Anual'!D9</f>
        <v>2528.1215</v>
      </c>
      <c r="E8" s="87" t="n">
        <f aca="false">IFERROR(VALUE('⚙️ Supuestos'!D42),0)+'9️⃣ Equity Anual'!E9</f>
        <v>6294.4</v>
      </c>
      <c r="F8" s="87" t="n">
        <f aca="false">IFERROR(VALUE('⚙️ Supuestos'!E42),0)+'9️⃣ Equity Anual'!F9</f>
        <v>10883.3</v>
      </c>
      <c r="G8" s="87" t="n">
        <f aca="false">IFERROR(VALUE('⚙️ Supuestos'!F42),0)+'9️⃣ Equity Anual'!G9</f>
        <v>21206.9215</v>
      </c>
      <c r="H8" s="87" t="n">
        <f aca="false">IFERROR(VALUE('⚙️ Supuestos'!G42),0)+'9️⃣ Equity Anual'!H9</f>
        <v>28346</v>
      </c>
      <c r="I8" s="89" t="n">
        <f aca="false">IFERROR(VALUE('⚙️ Supuestos'!H42),0)+'9️⃣ Equity Anual'!I9</f>
        <v>34683.3965</v>
      </c>
      <c r="J8" s="88" t="n">
        <f aca="false">SUM(C8:I8)*12</f>
        <v>1247305.674</v>
      </c>
      <c r="K8" s="90" t="n">
        <f aca="false">I8</f>
        <v>34683.3965</v>
      </c>
      <c r="L8" s="3"/>
      <c r="M8" s="3"/>
      <c r="N8" s="3"/>
      <c r="O8" s="3"/>
      <c r="P8" s="3"/>
      <c r="Q8" s="3"/>
      <c r="R8" s="3"/>
    </row>
    <row r="9" customFormat="false" ht="21.75" hidden="false" customHeight="true" outlineLevel="0" collapsed="false">
      <c r="A9" s="20" t="s">
        <v>60</v>
      </c>
      <c r="B9" s="62" t="n">
        <f aca="false">'⚙️ Supuestos'!G11</f>
        <v>0.11</v>
      </c>
      <c r="C9" s="87" t="n">
        <f aca="false">IFERROR(VALUE('⚙️ Supuestos'!B43),0)+'9️⃣ Equity Anual'!C10</f>
        <v>0</v>
      </c>
      <c r="D9" s="87" t="n">
        <f aca="false">IFERROR(VALUE('⚙️ Supuestos'!C43),0)+'9️⃣ Equity Anual'!D10</f>
        <v>1988.7845</v>
      </c>
      <c r="E9" s="87" t="n">
        <f aca="false">IFERROR(VALUE('⚙️ Supuestos'!D43),0)+'9️⃣ Equity Anual'!E10</f>
        <v>4955.2</v>
      </c>
      <c r="F9" s="87" t="n">
        <f aca="false">IFERROR(VALUE('⚙️ Supuestos'!E43),0)+'9️⃣ Equity Anual'!F10</f>
        <v>8453.9</v>
      </c>
      <c r="G9" s="87" t="n">
        <f aca="false">IFERROR(VALUE('⚙️ Supuestos'!F43),0)+'9️⃣ Equity Anual'!G10</f>
        <v>15869.1845</v>
      </c>
      <c r="H9" s="87" t="n">
        <f aca="false">IFERROR(VALUE('⚙️ Supuestos'!G43),0)+'9️⃣ Equity Anual'!H10</f>
        <v>21018</v>
      </c>
      <c r="I9" s="89" t="n">
        <f aca="false">IFERROR(VALUE('⚙️ Supuestos'!H43),0)+'9️⃣ Equity Anual'!I10</f>
        <v>25971.6095</v>
      </c>
      <c r="J9" s="88" t="n">
        <f aca="false">SUM(C9:I9)*12</f>
        <v>939080.142</v>
      </c>
      <c r="K9" s="90" t="n">
        <f aca="false">I9</f>
        <v>25971.6095</v>
      </c>
      <c r="L9" s="3"/>
      <c r="M9" s="3"/>
      <c r="N9" s="3"/>
      <c r="O9" s="3"/>
      <c r="P9" s="3"/>
      <c r="Q9" s="3"/>
      <c r="R9" s="3"/>
    </row>
    <row r="10" customFormat="false" ht="21.75" hidden="false" customHeight="true" outlineLevel="0" collapsed="false">
      <c r="A10" s="20" t="s">
        <v>61</v>
      </c>
      <c r="B10" s="62" t="n">
        <f aca="false">'⚙️ Supuestos'!G12</f>
        <v>0.06</v>
      </c>
      <c r="C10" s="87" t="n">
        <f aca="false">IFERROR(VALUE('⚙️ Supuestos'!B44),0)+'9️⃣ Equity Anual'!C11</f>
        <v>5000</v>
      </c>
      <c r="D10" s="87" t="n">
        <f aca="false">IFERROR(VALUE('⚙️ Supuestos'!C44),0)+'9️⃣ Equity Anual'!D11</f>
        <v>6539.337</v>
      </c>
      <c r="E10" s="87" t="n">
        <f aca="false">IFERROR(VALUE('⚙️ Supuestos'!D44),0)+'9️⃣ Equity Anual'!E11</f>
        <v>8339.2</v>
      </c>
      <c r="F10" s="87" t="n">
        <f aca="false">IFERROR(VALUE('⚙️ Supuestos'!E44),0)+'9️⃣ Equity Anual'!F11</f>
        <v>10429.4</v>
      </c>
      <c r="G10" s="87" t="n">
        <f aca="false">IFERROR(VALUE('⚙️ Supuestos'!F44),0)+'9️⃣ Equity Anual'!G11</f>
        <v>13837.737</v>
      </c>
      <c r="H10" s="87" t="n">
        <f aca="false">IFERROR(VALUE('⚙️ Supuestos'!G44),0)+'9️⃣ Equity Anual'!H11</f>
        <v>16828</v>
      </c>
      <c r="I10" s="89" t="n">
        <f aca="false">IFERROR(VALUE('⚙️ Supuestos'!H44),0)+'9️⃣ Equity Anual'!I11</f>
        <v>18711.787</v>
      </c>
      <c r="J10" s="88" t="n">
        <f aca="false">SUM(C10:I10)*12</f>
        <v>956225.532</v>
      </c>
      <c r="K10" s="90" t="n">
        <f aca="false">I10</f>
        <v>18711.787</v>
      </c>
      <c r="L10" s="3"/>
      <c r="M10" s="3"/>
      <c r="N10" s="3"/>
      <c r="O10" s="3"/>
      <c r="P10" s="3"/>
      <c r="Q10" s="3"/>
      <c r="R10" s="3"/>
    </row>
    <row r="11" customFormat="false" ht="21.75" hidden="false" customHeight="true" outlineLevel="0" collapsed="false">
      <c r="A11" s="20" t="s">
        <v>63</v>
      </c>
      <c r="B11" s="62" t="n">
        <f aca="false">'⚙️ Supuestos'!G13</f>
        <v>0.03</v>
      </c>
      <c r="C11" s="87" t="n">
        <f aca="false">IFERROR(VALUE('⚙️ Supuestos'!B45),0)+'9️⃣ Equity Anual'!C12</f>
        <v>2000</v>
      </c>
      <c r="D11" s="87" t="n">
        <f aca="false">IFERROR(VALUE('⚙️ Supuestos'!C45),0)+'9️⃣ Equity Anual'!D12</f>
        <v>4269.6685</v>
      </c>
      <c r="E11" s="87" t="n">
        <f aca="false">IFERROR(VALUE('⚙️ Supuestos'!D45),0)+'9️⃣ Equity Anual'!E12</f>
        <v>5669.6</v>
      </c>
      <c r="F11" s="87" t="n">
        <f aca="false">IFERROR(VALUE('⚙️ Supuestos'!E45),0)+'9️⃣ Equity Anual'!F12</f>
        <v>7214.7</v>
      </c>
      <c r="G11" s="87" t="n">
        <f aca="false">IFERROR(VALUE('⚙️ Supuestos'!F45),0)+'9️⃣ Equity Anual'!G12</f>
        <v>8418.8685</v>
      </c>
      <c r="H11" s="87" t="n">
        <f aca="false">IFERROR(VALUE('⚙️ Supuestos'!G45),0)+'9️⃣ Equity Anual'!H12</f>
        <v>9414</v>
      </c>
      <c r="I11" s="89" t="n">
        <f aca="false">IFERROR(VALUE('⚙️ Supuestos'!H45),0)+'9️⃣ Equity Anual'!I12</f>
        <v>10355.8935</v>
      </c>
      <c r="J11" s="88" t="n">
        <f aca="false">SUM(C11:I11)*12</f>
        <v>568112.766</v>
      </c>
      <c r="K11" s="90" t="n">
        <f aca="false">I11</f>
        <v>10355.8935</v>
      </c>
      <c r="L11" s="3"/>
      <c r="M11" s="3"/>
      <c r="N11" s="3"/>
      <c r="O11" s="3"/>
      <c r="P11" s="3"/>
      <c r="Q11" s="3"/>
      <c r="R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</sheetData>
  <mergeCells count="2">
    <mergeCell ref="A1:K1"/>
    <mergeCell ref="A2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1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7" min="6" style="1" width="13"/>
    <col collapsed="false" customWidth="true" hidden="false" outlineLevel="0" max="8" min="8" style="1" width="14"/>
    <col collapsed="false" customWidth="true" hidden="false" outlineLevel="0" max="9" min="9" style="1" width="42"/>
  </cols>
  <sheetData>
    <row r="1" customFormat="false" ht="31.5" hidden="false" customHeight="true" outlineLevel="0" collapsed="false">
      <c r="A1" s="23" t="s">
        <v>296</v>
      </c>
      <c r="B1" s="23"/>
      <c r="C1" s="23"/>
      <c r="D1" s="23"/>
      <c r="E1" s="23"/>
      <c r="F1" s="23"/>
      <c r="G1" s="23"/>
      <c r="H1" s="23"/>
      <c r="I1" s="23"/>
      <c r="J1" s="3"/>
      <c r="K1" s="3"/>
      <c r="L1" s="3"/>
      <c r="M1" s="3"/>
      <c r="N1" s="3"/>
      <c r="O1" s="3"/>
      <c r="P1" s="3"/>
      <c r="Q1" s="3"/>
      <c r="R1" s="3"/>
    </row>
    <row r="2" customFormat="false" ht="21.75" hidden="false" customHeight="true" outlineLevel="0" collapsed="false">
      <c r="A2" s="5" t="s">
        <v>297</v>
      </c>
      <c r="B2" s="5"/>
      <c r="C2" s="5"/>
      <c r="D2" s="5"/>
      <c r="E2" s="5"/>
      <c r="F2" s="5"/>
      <c r="G2" s="5"/>
      <c r="H2" s="5"/>
      <c r="I2" s="5"/>
      <c r="J2" s="3"/>
      <c r="K2" s="3"/>
      <c r="L2" s="3"/>
      <c r="M2" s="3"/>
      <c r="N2" s="3"/>
      <c r="O2" s="3"/>
      <c r="P2" s="3"/>
      <c r="Q2" s="3"/>
      <c r="R2" s="3"/>
    </row>
    <row r="3" customFormat="false" ht="21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</row>
    <row r="4" customFormat="false" ht="21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3"/>
      <c r="K4" s="3"/>
      <c r="L4" s="3"/>
      <c r="M4" s="3"/>
      <c r="N4" s="3"/>
      <c r="O4" s="3"/>
      <c r="P4" s="3"/>
      <c r="Q4" s="3"/>
      <c r="R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45" hidden="false" customHeight="true" outlineLevel="0" collapsed="false">
      <c r="A6" s="24" t="s">
        <v>50</v>
      </c>
      <c r="B6" s="24" t="s">
        <v>287</v>
      </c>
      <c r="C6" s="24" t="s">
        <v>298</v>
      </c>
      <c r="D6" s="24" t="s">
        <v>299</v>
      </c>
      <c r="E6" s="24" t="s">
        <v>300</v>
      </c>
      <c r="F6" s="24" t="s">
        <v>301</v>
      </c>
      <c r="G6" s="24" t="s">
        <v>302</v>
      </c>
      <c r="H6" s="24" t="s">
        <v>303</v>
      </c>
      <c r="I6" s="24" t="s">
        <v>141</v>
      </c>
      <c r="J6" s="3"/>
      <c r="K6" s="3"/>
      <c r="L6" s="3"/>
      <c r="M6" s="3"/>
      <c r="N6" s="3"/>
      <c r="O6" s="3"/>
      <c r="P6" s="3"/>
      <c r="Q6" s="3"/>
      <c r="R6" s="3"/>
    </row>
    <row r="7" customFormat="false" ht="30" hidden="false" customHeight="true" outlineLevel="0" collapsed="false">
      <c r="A7" s="20" t="s">
        <v>58</v>
      </c>
      <c r="B7" s="62" t="n">
        <f aca="false">'⚙️ Supuestos'!G9</f>
        <v>0.63</v>
      </c>
      <c r="C7" s="41" t="n">
        <f aca="false">'4️⃣ Equity'!F7</f>
        <v>710179.363636364</v>
      </c>
      <c r="D7" s="91" t="n">
        <f aca="false">'🔟 Total Mensual'!J7</f>
        <v>4070368.086</v>
      </c>
      <c r="E7" s="92" t="n">
        <f aca="false">D7/C7</f>
        <v>5.7314648867834</v>
      </c>
      <c r="F7" s="93" t="n">
        <f aca="false">'🔟 Total Mensual'!I7/'⚙️ Supuestos'!B9</f>
        <v>4.04912545</v>
      </c>
      <c r="G7" s="47" t="n">
        <f aca="false">(D7/C7)^(1/7)-1</f>
        <v>0.283286608526189</v>
      </c>
      <c r="H7" s="94" t="str">
        <f aca="false">IF(C7=0,"-",IF(D7*3/7&gt;=C7,"2029","2030+"))</f>
        <v>2029</v>
      </c>
      <c r="I7" s="33" t="s">
        <v>304</v>
      </c>
      <c r="J7" s="3"/>
      <c r="K7" s="3"/>
      <c r="L7" s="3"/>
      <c r="M7" s="3"/>
      <c r="N7" s="3"/>
      <c r="O7" s="3"/>
      <c r="P7" s="3"/>
      <c r="Q7" s="3"/>
      <c r="R7" s="3"/>
    </row>
    <row r="8" customFormat="false" ht="30" hidden="false" customHeight="true" outlineLevel="0" collapsed="false">
      <c r="A8" s="20" t="s">
        <v>59</v>
      </c>
      <c r="B8" s="62" t="n">
        <f aca="false">'⚙️ Supuestos'!G10</f>
        <v>0.17</v>
      </c>
      <c r="C8" s="41" t="n">
        <f aca="false">'4️⃣ Equity'!F8</f>
        <v>180151.818181818</v>
      </c>
      <c r="D8" s="91" t="n">
        <f aca="false">'🔟 Total Mensual'!J8</f>
        <v>1247305.674</v>
      </c>
      <c r="E8" s="92" t="n">
        <f aca="false">D8/C8</f>
        <v>6.92363633400112</v>
      </c>
      <c r="F8" s="93" t="n">
        <f aca="false">'🔟 Total Mensual'!I8/'⚙️ Supuestos'!B10</f>
        <v>4.95477092857143</v>
      </c>
      <c r="G8" s="47" t="n">
        <f aca="false">(D8/C8)^(1/7)-1</f>
        <v>0.318401686082676</v>
      </c>
      <c r="H8" s="94" t="str">
        <f aca="false">IF(C8=0,"-",IF(D8*3/7&gt;=C8,"2029","2030+"))</f>
        <v>2029</v>
      </c>
      <c r="I8" s="33" t="s">
        <v>305</v>
      </c>
      <c r="J8" s="3"/>
      <c r="K8" s="3"/>
      <c r="L8" s="3"/>
      <c r="M8" s="3"/>
      <c r="N8" s="3"/>
      <c r="O8" s="3"/>
      <c r="P8" s="3"/>
      <c r="Q8" s="3"/>
      <c r="R8" s="3"/>
    </row>
    <row r="9" customFormat="false" ht="30" hidden="false" customHeight="true" outlineLevel="0" collapsed="false">
      <c r="A9" s="20" t="s">
        <v>60</v>
      </c>
      <c r="B9" s="62" t="n">
        <f aca="false">'⚙️ Supuestos'!G11</f>
        <v>0.11</v>
      </c>
      <c r="C9" s="41" t="n">
        <f aca="false">'4️⃣ Equity'!F9</f>
        <v>153069.545454545</v>
      </c>
      <c r="D9" s="91" t="n">
        <f aca="false">'🔟 Total Mensual'!J9</f>
        <v>939080.142</v>
      </c>
      <c r="E9" s="92" t="n">
        <f aca="false">D9/C9</f>
        <v>6.13499007403052</v>
      </c>
      <c r="F9" s="93" t="n">
        <f aca="false">'🔟 Total Mensual'!I9/'⚙️ Supuestos'!B11</f>
        <v>3.99563223076923</v>
      </c>
      <c r="G9" s="47" t="n">
        <f aca="false">(D9/C9)^(1/7)-1</f>
        <v>0.295820474727438</v>
      </c>
      <c r="H9" s="94" t="str">
        <f aca="false">IF(C9=0,"-",IF(D9*3/7&gt;=C9,"2029","2030+"))</f>
        <v>2029</v>
      </c>
      <c r="I9" s="33" t="s">
        <v>306</v>
      </c>
      <c r="J9" s="3"/>
      <c r="K9" s="3"/>
      <c r="L9" s="3"/>
      <c r="M9" s="3"/>
      <c r="N9" s="3"/>
      <c r="O9" s="3"/>
      <c r="P9" s="3"/>
      <c r="Q9" s="3"/>
      <c r="R9" s="3"/>
    </row>
    <row r="10" customFormat="false" ht="30" hidden="false" customHeight="true" outlineLevel="0" collapsed="false">
      <c r="A10" s="20" t="s">
        <v>61</v>
      </c>
      <c r="B10" s="62" t="n">
        <f aca="false">'⚙️ Supuestos'!G12</f>
        <v>0.06</v>
      </c>
      <c r="C10" s="41" t="n">
        <f aca="false">'4️⃣ Equity'!F10</f>
        <v>84159.0909090909</v>
      </c>
      <c r="D10" s="91" t="n">
        <f aca="false">'🔟 Total Mensual'!J10</f>
        <v>956225.532</v>
      </c>
      <c r="E10" s="92" t="n">
        <f aca="false">D10/C10</f>
        <v>11.3621181226033</v>
      </c>
      <c r="F10" s="93" t="n">
        <f aca="false">'🔟 Total Mensual'!I10/'⚙️ Supuestos'!B12</f>
        <v>3.7423574</v>
      </c>
      <c r="G10" s="47" t="n">
        <f aca="false">(D10/C10)^(1/7)-1</f>
        <v>0.415076438889043</v>
      </c>
      <c r="H10" s="94" t="str">
        <f aca="false">IF(C10=0,"-",IF(D10*3/7&gt;=C10,"2029","2030+"))</f>
        <v>2029</v>
      </c>
      <c r="I10" s="33" t="s">
        <v>307</v>
      </c>
      <c r="J10" s="3"/>
      <c r="K10" s="3"/>
      <c r="L10" s="3"/>
      <c r="M10" s="3"/>
      <c r="N10" s="3"/>
      <c r="O10" s="3"/>
      <c r="P10" s="3"/>
      <c r="Q10" s="3"/>
      <c r="R10" s="3"/>
    </row>
    <row r="11" customFormat="false" ht="30" hidden="false" customHeight="true" outlineLevel="0" collapsed="false">
      <c r="A11" s="20" t="s">
        <v>63</v>
      </c>
      <c r="B11" s="62" t="n">
        <f aca="false">'⚙️ Supuestos'!G13</f>
        <v>0.03</v>
      </c>
      <c r="C11" s="41" t="n">
        <f aca="false">'4️⃣ Equity'!F11</f>
        <v>36663.6363636364</v>
      </c>
      <c r="D11" s="91" t="n">
        <f aca="false">'🔟 Total Mensual'!J11</f>
        <v>568112.766</v>
      </c>
      <c r="E11" s="92" t="n">
        <f aca="false">D11/C11</f>
        <v>15.4952651276965</v>
      </c>
      <c r="F11" s="93" t="n">
        <f aca="false">'🔟 Total Mensual'!I11/'⚙️ Supuestos'!B13</f>
        <v>5.17794675</v>
      </c>
      <c r="G11" s="47" t="n">
        <f aca="false">(D11/C11)^(1/7)-1</f>
        <v>0.479205218202081</v>
      </c>
      <c r="H11" s="94" t="str">
        <f aca="false">IF(C11=0,"-",IF(D11*3/7&gt;=C11,"2029","2030+"))</f>
        <v>2029</v>
      </c>
      <c r="I11" s="33" t="s">
        <v>308</v>
      </c>
      <c r="J11" s="3"/>
      <c r="K11" s="3"/>
      <c r="L11" s="3"/>
      <c r="M11" s="3"/>
      <c r="N11" s="3"/>
      <c r="O11" s="3"/>
      <c r="P11" s="3"/>
      <c r="Q11" s="3"/>
      <c r="R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customFormat="false" ht="24.75" hidden="false" customHeight="true" outlineLevel="0" collapsed="false">
      <c r="A13" s="5" t="s">
        <v>309</v>
      </c>
      <c r="B13" s="5"/>
      <c r="C13" s="5"/>
      <c r="D13" s="5"/>
      <c r="E13" s="5"/>
      <c r="F13" s="5"/>
      <c r="G13" s="5"/>
      <c r="H13" s="5"/>
      <c r="I13" s="5"/>
      <c r="J13" s="3"/>
      <c r="K13" s="3"/>
      <c r="L13" s="3"/>
      <c r="M13" s="3"/>
      <c r="N13" s="3"/>
      <c r="O13" s="3"/>
      <c r="P13" s="3"/>
      <c r="Q13" s="3"/>
      <c r="R13" s="3"/>
    </row>
    <row r="14" customFormat="false" ht="24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3"/>
      <c r="K14" s="3"/>
      <c r="L14" s="3"/>
      <c r="M14" s="3"/>
      <c r="N14" s="3"/>
      <c r="O14" s="3"/>
      <c r="P14" s="3"/>
      <c r="Q14" s="3"/>
      <c r="R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</sheetData>
  <mergeCells count="3">
    <mergeCell ref="A1:I1"/>
    <mergeCell ref="A2:I4"/>
    <mergeCell ref="A13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4" min="2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1" min="11" style="1" width="36"/>
  </cols>
  <sheetData>
    <row r="1" customFormat="false" ht="31.5" hidden="false" customHeight="true" outlineLevel="0" collapsed="false">
      <c r="A1" s="23" t="s">
        <v>310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3"/>
      <c r="M1" s="3"/>
      <c r="N1" s="3"/>
      <c r="O1" s="3"/>
      <c r="P1" s="3"/>
      <c r="Q1" s="3"/>
      <c r="R1" s="3"/>
    </row>
    <row r="2" customFormat="false" ht="21.75" hidden="false" customHeight="true" outlineLevel="0" collapsed="false">
      <c r="A2" s="5" t="s">
        <v>311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</row>
    <row r="3" customFormat="false" ht="21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3"/>
      <c r="M3" s="3"/>
      <c r="N3" s="3"/>
      <c r="O3" s="3"/>
      <c r="P3" s="3"/>
      <c r="Q3" s="3"/>
      <c r="R3" s="3"/>
    </row>
    <row r="4" customFormat="false" ht="21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45" hidden="false" customHeight="true" outlineLevel="0" collapsed="false">
      <c r="A6" s="24" t="s">
        <v>50</v>
      </c>
      <c r="B6" s="24" t="s">
        <v>312</v>
      </c>
      <c r="C6" s="24" t="s">
        <v>313</v>
      </c>
      <c r="D6" s="24" t="s">
        <v>314</v>
      </c>
      <c r="E6" s="24" t="s">
        <v>315</v>
      </c>
      <c r="F6" s="24" t="s">
        <v>316</v>
      </c>
      <c r="G6" s="24" t="s">
        <v>317</v>
      </c>
      <c r="H6" s="24" t="s">
        <v>318</v>
      </c>
      <c r="I6" s="24" t="s">
        <v>301</v>
      </c>
      <c r="J6" s="24" t="s">
        <v>319</v>
      </c>
      <c r="K6" s="24" t="s">
        <v>320</v>
      </c>
      <c r="L6" s="3"/>
      <c r="M6" s="3"/>
      <c r="N6" s="3"/>
      <c r="O6" s="3"/>
      <c r="P6" s="3"/>
      <c r="Q6" s="3"/>
      <c r="R6" s="3"/>
    </row>
    <row r="7" customFormat="false" ht="34.5" hidden="false" customHeight="true" outlineLevel="0" collapsed="false">
      <c r="A7" s="95" t="s">
        <v>58</v>
      </c>
      <c r="B7" s="91" t="n">
        <f aca="false">'⚙️ Supuestos'!B9</f>
        <v>30000</v>
      </c>
      <c r="C7" s="41" t="n">
        <f aca="false">'🔟 Total Mensual'!D7</f>
        <v>7663.0385</v>
      </c>
      <c r="D7" s="41" t="n">
        <f aca="false">'🔟 Total Mensual'!F7</f>
        <v>34508.7</v>
      </c>
      <c r="E7" s="41" t="n">
        <f aca="false">'⚙️ Supuestos'!H41</f>
        <v>30000</v>
      </c>
      <c r="F7" s="41" t="n">
        <f aca="false">'9️⃣ Equity Anual'!I8</f>
        <v>91473.7635</v>
      </c>
      <c r="G7" s="96" t="n">
        <f aca="false">E7+F7</f>
        <v>121473.7635</v>
      </c>
      <c r="H7" s="97" t="n">
        <f aca="false">F7/B7</f>
        <v>3.04912545</v>
      </c>
      <c r="I7" s="98" t="n">
        <f aca="false">G7/B7</f>
        <v>4.04912545</v>
      </c>
      <c r="J7" s="46" t="n">
        <f aca="false">G7-B7</f>
        <v>91473.7635</v>
      </c>
      <c r="K7" s="33" t="s">
        <v>321</v>
      </c>
      <c r="L7" s="3"/>
      <c r="M7" s="3"/>
      <c r="N7" s="3"/>
      <c r="O7" s="3"/>
      <c r="P7" s="3"/>
      <c r="Q7" s="3"/>
      <c r="R7" s="3"/>
    </row>
    <row r="8" customFormat="false" ht="34.5" hidden="false" customHeight="true" outlineLevel="0" collapsed="false">
      <c r="A8" s="95" t="s">
        <v>59</v>
      </c>
      <c r="B8" s="91" t="n">
        <f aca="false">'⚙️ Supuestos'!B10</f>
        <v>7000</v>
      </c>
      <c r="C8" s="41" t="n">
        <f aca="false">'🔟 Total Mensual'!D8</f>
        <v>2528.1215</v>
      </c>
      <c r="D8" s="41" t="n">
        <f aca="false">'🔟 Total Mensual'!F8</f>
        <v>10883.3</v>
      </c>
      <c r="E8" s="41" t="n">
        <f aca="false">'⚙️ Supuestos'!H42</f>
        <v>10000</v>
      </c>
      <c r="F8" s="41" t="n">
        <f aca="false">'9️⃣ Equity Anual'!I9</f>
        <v>24683.3965</v>
      </c>
      <c r="G8" s="96" t="n">
        <f aca="false">E8+F8</f>
        <v>34683.3965</v>
      </c>
      <c r="H8" s="97" t="n">
        <f aca="false">F8/B8</f>
        <v>3.5261995</v>
      </c>
      <c r="I8" s="98" t="n">
        <f aca="false">G8/B8</f>
        <v>4.95477092857143</v>
      </c>
      <c r="J8" s="46" t="n">
        <f aca="false">G8-B8</f>
        <v>27683.3965</v>
      </c>
      <c r="K8" s="33" t="s">
        <v>322</v>
      </c>
      <c r="L8" s="3"/>
      <c r="M8" s="3"/>
      <c r="N8" s="3"/>
      <c r="O8" s="3"/>
      <c r="P8" s="3"/>
      <c r="Q8" s="3"/>
      <c r="R8" s="3"/>
    </row>
    <row r="9" customFormat="false" ht="34.5" hidden="false" customHeight="true" outlineLevel="0" collapsed="false">
      <c r="A9" s="95" t="s">
        <v>60</v>
      </c>
      <c r="B9" s="91" t="n">
        <f aca="false">'⚙️ Supuestos'!B11</f>
        <v>6500</v>
      </c>
      <c r="C9" s="41" t="n">
        <f aca="false">'🔟 Total Mensual'!D9</f>
        <v>1988.7845</v>
      </c>
      <c r="D9" s="41" t="n">
        <f aca="false">'🔟 Total Mensual'!F9</f>
        <v>8453.9</v>
      </c>
      <c r="E9" s="41" t="n">
        <f aca="false">'⚙️ Supuestos'!H43</f>
        <v>10000</v>
      </c>
      <c r="F9" s="41" t="n">
        <f aca="false">'9️⃣ Equity Anual'!I10</f>
        <v>15971.6095</v>
      </c>
      <c r="G9" s="96" t="n">
        <f aca="false">E9+F9</f>
        <v>25971.6095</v>
      </c>
      <c r="H9" s="97" t="n">
        <f aca="false">F9/B9</f>
        <v>2.45717069230769</v>
      </c>
      <c r="I9" s="98" t="n">
        <f aca="false">G9/B9</f>
        <v>3.99563223076923</v>
      </c>
      <c r="J9" s="46" t="n">
        <f aca="false">G9-B9</f>
        <v>19471.6095</v>
      </c>
      <c r="K9" s="33" t="s">
        <v>323</v>
      </c>
      <c r="L9" s="3"/>
      <c r="M9" s="3"/>
      <c r="N9" s="3"/>
      <c r="O9" s="3"/>
      <c r="P9" s="3"/>
      <c r="Q9" s="3"/>
      <c r="R9" s="3"/>
    </row>
    <row r="10" customFormat="false" ht="34.5" hidden="false" customHeight="true" outlineLevel="0" collapsed="false">
      <c r="A10" s="95" t="s">
        <v>61</v>
      </c>
      <c r="B10" s="91" t="n">
        <f aca="false">'⚙️ Supuestos'!B12</f>
        <v>5000</v>
      </c>
      <c r="C10" s="41" t="n">
        <f aca="false">'🔟 Total Mensual'!D10</f>
        <v>6539.337</v>
      </c>
      <c r="D10" s="41" t="n">
        <f aca="false">'🔟 Total Mensual'!F10</f>
        <v>10429.4</v>
      </c>
      <c r="E10" s="41" t="n">
        <f aca="false">'⚙️ Supuestos'!H44</f>
        <v>10000</v>
      </c>
      <c r="F10" s="41" t="n">
        <f aca="false">'9️⃣ Equity Anual'!I11</f>
        <v>8711.787</v>
      </c>
      <c r="G10" s="96" t="n">
        <f aca="false">E10+F10</f>
        <v>18711.787</v>
      </c>
      <c r="H10" s="97" t="n">
        <f aca="false">F10/B10</f>
        <v>1.7423574</v>
      </c>
      <c r="I10" s="98" t="n">
        <f aca="false">G10/B10</f>
        <v>3.7423574</v>
      </c>
      <c r="J10" s="46" t="n">
        <f aca="false">G10-B10</f>
        <v>13711.787</v>
      </c>
      <c r="K10" s="33" t="s">
        <v>324</v>
      </c>
      <c r="L10" s="3"/>
      <c r="M10" s="3"/>
      <c r="N10" s="3"/>
      <c r="O10" s="3"/>
      <c r="P10" s="3"/>
      <c r="Q10" s="3"/>
      <c r="R10" s="3"/>
    </row>
    <row r="11" customFormat="false" ht="34.5" hidden="false" customHeight="true" outlineLevel="0" collapsed="false">
      <c r="A11" s="95" t="s">
        <v>63</v>
      </c>
      <c r="B11" s="91" t="n">
        <f aca="false">'⚙️ Supuestos'!B13</f>
        <v>2000</v>
      </c>
      <c r="C11" s="41" t="n">
        <f aca="false">'🔟 Total Mensual'!D11</f>
        <v>4269.6685</v>
      </c>
      <c r="D11" s="41" t="n">
        <f aca="false">'🔟 Total Mensual'!F11</f>
        <v>7214.7</v>
      </c>
      <c r="E11" s="41" t="n">
        <f aca="false">'⚙️ Supuestos'!H45</f>
        <v>6000</v>
      </c>
      <c r="F11" s="41" t="n">
        <f aca="false">'9️⃣ Equity Anual'!I12</f>
        <v>4355.8935</v>
      </c>
      <c r="G11" s="96" t="n">
        <f aca="false">E11+F11</f>
        <v>10355.8935</v>
      </c>
      <c r="H11" s="97" t="n">
        <f aca="false">F11/B11</f>
        <v>2.17794675</v>
      </c>
      <c r="I11" s="98" t="n">
        <f aca="false">G11/B11</f>
        <v>5.17794675</v>
      </c>
      <c r="J11" s="46" t="n">
        <f aca="false">G11-B11</f>
        <v>8355.8935</v>
      </c>
      <c r="K11" s="33" t="s">
        <v>325</v>
      </c>
      <c r="L11" s="3"/>
      <c r="M11" s="3"/>
      <c r="N11" s="3"/>
      <c r="O11" s="3"/>
      <c r="P11" s="3"/>
      <c r="Q11" s="3"/>
      <c r="R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customFormat="false" ht="34.5" hidden="false" customHeight="true" outlineLevel="0" collapsed="false">
      <c r="A13" s="99" t="s">
        <v>326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3"/>
      <c r="M13" s="3"/>
      <c r="N13" s="3"/>
      <c r="O13" s="3"/>
      <c r="P13" s="3"/>
      <c r="Q13" s="3"/>
      <c r="R13" s="3"/>
    </row>
    <row r="14" customFormat="false" ht="31.5" hidden="false" customHeight="true" outlineLevel="0" collapsed="false">
      <c r="A14" s="100" t="s">
        <v>327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3"/>
      <c r="M14" s="3"/>
      <c r="N14" s="3"/>
      <c r="O14" s="3"/>
      <c r="P14" s="3"/>
      <c r="Q14" s="3"/>
      <c r="R14" s="3"/>
    </row>
    <row r="15" customFormat="false" ht="31.5" hidden="false" customHeight="true" outlineLevel="0" collapsed="false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3"/>
      <c r="M15" s="3"/>
      <c r="N15" s="3"/>
      <c r="O15" s="3"/>
      <c r="P15" s="3"/>
      <c r="Q15" s="3"/>
      <c r="R15" s="3"/>
    </row>
    <row r="16" customFormat="false" ht="27.75" hidden="false" customHeight="true" outlineLevel="0" collapsed="false">
      <c r="A16" s="101" t="s">
        <v>328</v>
      </c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3"/>
      <c r="M16" s="3"/>
      <c r="N16" s="3"/>
      <c r="O16" s="3"/>
      <c r="P16" s="3"/>
      <c r="Q16" s="3"/>
      <c r="R16" s="3"/>
    </row>
    <row r="17" customFormat="false" ht="27.75" hidden="false" customHeight="true" outlineLevel="0" collapsed="false">
      <c r="A17" s="102" t="s">
        <v>329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3"/>
      <c r="M17" s="3"/>
      <c r="N17" s="3"/>
      <c r="O17" s="3"/>
      <c r="P17" s="3"/>
      <c r="Q17" s="3"/>
      <c r="R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customFormat="false" ht="24" hidden="false" customHeight="true" outlineLevel="0" collapsed="false">
      <c r="A19" s="17" t="s">
        <v>330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3"/>
      <c r="M19" s="3"/>
      <c r="N19" s="3"/>
      <c r="O19" s="3"/>
      <c r="P19" s="3"/>
      <c r="Q19" s="3"/>
      <c r="R19" s="3"/>
    </row>
    <row r="20" customFormat="false" ht="27.75" hidden="false" customHeight="true" outlineLevel="0" collapsed="false">
      <c r="A20" s="5" t="s">
        <v>331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3"/>
      <c r="M20" s="3"/>
      <c r="N20" s="3"/>
      <c r="O20" s="3"/>
      <c r="P20" s="3"/>
      <c r="Q20" s="3"/>
      <c r="R20" s="3"/>
    </row>
    <row r="21" customFormat="false" ht="21.75" hidden="false" customHeight="true" outlineLevel="0" collapsed="false">
      <c r="A21" s="34" t="s">
        <v>226</v>
      </c>
      <c r="B21" s="34"/>
      <c r="C21" s="34"/>
      <c r="D21" s="34"/>
      <c r="E21" s="36" t="s">
        <v>332</v>
      </c>
      <c r="F21" s="36" t="s">
        <v>333</v>
      </c>
      <c r="G21" s="36" t="s">
        <v>334</v>
      </c>
      <c r="H21" s="36"/>
      <c r="I21" s="36"/>
      <c r="J21" s="36"/>
      <c r="K21" s="36"/>
      <c r="L21" s="3"/>
      <c r="M21" s="3"/>
      <c r="N21" s="3"/>
      <c r="O21" s="3"/>
      <c r="P21" s="3"/>
      <c r="Q21" s="3"/>
      <c r="R21" s="3"/>
    </row>
    <row r="22" customFormat="false" ht="27.75" hidden="false" customHeight="true" outlineLevel="0" collapsed="false">
      <c r="A22" s="51" t="s">
        <v>335</v>
      </c>
      <c r="B22" s="51"/>
      <c r="C22" s="51"/>
      <c r="D22" s="51"/>
      <c r="E22" s="25" t="n">
        <v>3000000</v>
      </c>
      <c r="F22" s="103" t="n">
        <f aca="false">'⚙️ Supuestos'!G9</f>
        <v>0.63</v>
      </c>
      <c r="G22" s="104" t="n">
        <f aca="false">E22*F22</f>
        <v>1890000</v>
      </c>
      <c r="H22" s="104"/>
      <c r="I22" s="104"/>
      <c r="J22" s="104"/>
      <c r="K22" s="104"/>
      <c r="L22" s="3"/>
      <c r="M22" s="3"/>
      <c r="N22" s="3"/>
      <c r="O22" s="3"/>
      <c r="P22" s="3"/>
      <c r="Q22" s="3"/>
      <c r="R22" s="3"/>
    </row>
    <row r="23" customFormat="false" ht="27.75" hidden="false" customHeight="true" outlineLevel="0" collapsed="false">
      <c r="A23" s="51" t="s">
        <v>336</v>
      </c>
      <c r="B23" s="51"/>
      <c r="C23" s="51"/>
      <c r="D23" s="51"/>
      <c r="E23" s="25" t="n">
        <v>5000000</v>
      </c>
      <c r="F23" s="103" t="n">
        <f aca="false">'⚙️ Supuestos'!G9</f>
        <v>0.63</v>
      </c>
      <c r="G23" s="104" t="n">
        <f aca="false">E23*F23</f>
        <v>3150000</v>
      </c>
      <c r="H23" s="104"/>
      <c r="I23" s="104"/>
      <c r="J23" s="104"/>
      <c r="K23" s="104"/>
      <c r="L23" s="3"/>
      <c r="M23" s="3"/>
      <c r="N23" s="3"/>
      <c r="O23" s="3"/>
      <c r="P23" s="3"/>
      <c r="Q23" s="3"/>
      <c r="R23" s="3"/>
    </row>
    <row r="24" customFormat="false" ht="27.75" hidden="false" customHeight="true" outlineLevel="0" collapsed="false">
      <c r="A24" s="51" t="s">
        <v>337</v>
      </c>
      <c r="B24" s="51"/>
      <c r="C24" s="51"/>
      <c r="D24" s="51"/>
      <c r="E24" s="25" t="n">
        <v>7000000</v>
      </c>
      <c r="F24" s="103" t="n">
        <f aca="false">'⚙️ Supuestos'!G9</f>
        <v>0.63</v>
      </c>
      <c r="G24" s="104" t="n">
        <f aca="false">E24*F24</f>
        <v>4410000</v>
      </c>
      <c r="H24" s="104"/>
      <c r="I24" s="104"/>
      <c r="J24" s="104"/>
      <c r="K24" s="104"/>
      <c r="L24" s="3"/>
      <c r="M24" s="3"/>
      <c r="N24" s="3"/>
      <c r="O24" s="3"/>
      <c r="P24" s="3"/>
      <c r="Q24" s="3"/>
      <c r="R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</sheetData>
  <mergeCells count="16">
    <mergeCell ref="A1:K1"/>
    <mergeCell ref="A2:K4"/>
    <mergeCell ref="A13:K13"/>
    <mergeCell ref="A14:K15"/>
    <mergeCell ref="A16:K16"/>
    <mergeCell ref="A17:K17"/>
    <mergeCell ref="A19:K19"/>
    <mergeCell ref="A20:K20"/>
    <mergeCell ref="A21:D21"/>
    <mergeCell ref="G21:K21"/>
    <mergeCell ref="A22:D22"/>
    <mergeCell ref="G22:K22"/>
    <mergeCell ref="A23:D23"/>
    <mergeCell ref="G23:K23"/>
    <mergeCell ref="A24:D24"/>
    <mergeCell ref="G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2026-03-20T01:45:28Z</dcterms:created>
  <dc:creator>openpyxl</dc:creator>
  <dc:description/>
  <dc:language>en-US</dc:language>
  <cp:lastModifiedBy/>
  <dcterms:modified xsi:type="dcterms:W3CDTF">2026-03-20T01:53:14Z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